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Usuario\Documents\1 Semestre 2026\"/>
    </mc:Choice>
  </mc:AlternateContent>
  <xr:revisionPtr revIDLastSave="0" documentId="8_{2F2C8D6D-ABE0-4599-B4AD-45F484B936E0}" xr6:coauthVersionLast="47" xr6:coauthVersionMax="47" xr10:uidLastSave="{00000000-0000-0000-0000-000000000000}"/>
  <bookViews>
    <workbookView xWindow="9510" yWindow="0" windowWidth="9750" windowHeight="10890" xr2:uid="{00000000-000D-0000-FFFF-FFFF00000000}"/>
  </bookViews>
  <sheets>
    <sheet name="Contabilidad Basic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26" i="1" l="1"/>
  <c r="D24" i="1"/>
  <c r="D23" i="1"/>
  <c r="D22" i="1"/>
  <c r="D21" i="1"/>
  <c r="D20" i="1"/>
  <c r="D19" i="1"/>
  <c r="D18" i="1"/>
  <c r="D17" i="1"/>
  <c r="D16" i="1"/>
  <c r="D15" i="1"/>
  <c r="D8" i="1"/>
  <c r="C70" i="1"/>
  <c r="B70" i="1"/>
  <c r="B72" i="1" l="1"/>
  <c r="D70" i="1"/>
</calcChain>
</file>

<file path=xl/sharedStrings.xml><?xml version="1.0" encoding="utf-8"?>
<sst xmlns="http://schemas.openxmlformats.org/spreadsheetml/2006/main" count="204" uniqueCount="124">
  <si>
    <t>Debit Amt</t>
  </si>
  <si>
    <t>Credit Amt</t>
  </si>
  <si>
    <t>Banco General, S.A.</t>
  </si>
  <si>
    <t>CxC Clientes</t>
  </si>
  <si>
    <t>Deposito de Garantia Edemet</t>
  </si>
  <si>
    <t>Deposito Garantia Celulares</t>
  </si>
  <si>
    <t>Deposito Garantia Cable onda</t>
  </si>
  <si>
    <t>Deposito de alquiler</t>
  </si>
  <si>
    <t>Equipos de Computos y Redes</t>
  </si>
  <si>
    <t>Equipos de Oficina</t>
  </si>
  <si>
    <t>Depreciacion de Equipo computo</t>
  </si>
  <si>
    <t>Depreciacion Equipo de Oficina</t>
  </si>
  <si>
    <t>Cuentas por pagar</t>
  </si>
  <si>
    <t>Cuentas por pagar accionista</t>
  </si>
  <si>
    <t>Tesoro Nacional (ITBMS7%)</t>
  </si>
  <si>
    <t>Descuento empleados</t>
  </si>
  <si>
    <t>Reserva de Vacaciones</t>
  </si>
  <si>
    <t>Reserva de XIII mes</t>
  </si>
  <si>
    <t>Reserva de Prima de Antiguedad</t>
  </si>
  <si>
    <t>Adelanto clientes</t>
  </si>
  <si>
    <t>Salarios</t>
  </si>
  <si>
    <t>Gasto de Vacaciones</t>
  </si>
  <si>
    <t>Gasto de XIII mes</t>
  </si>
  <si>
    <t>Gasto de Prima de Antiguedad</t>
  </si>
  <si>
    <t>Indemnizacion</t>
  </si>
  <si>
    <t>Bono</t>
  </si>
  <si>
    <t>Honorarios profesionales</t>
  </si>
  <si>
    <t>Honorarios Varios</t>
  </si>
  <si>
    <t>Honorarios JM</t>
  </si>
  <si>
    <t>Honorarios de Limpieza</t>
  </si>
  <si>
    <t>Gasto Capac</t>
  </si>
  <si>
    <t>Gasto de Seguro Social</t>
  </si>
  <si>
    <t>Gasto de Seguro Educativo</t>
  </si>
  <si>
    <t>Gasto de Riesgo Profesional</t>
  </si>
  <si>
    <t>Other Taxes Expense</t>
  </si>
  <si>
    <t>Alquiler de Local</t>
  </si>
  <si>
    <t>Reparacion y Mantenimiento</t>
  </si>
  <si>
    <t>Utiles de Oficina</t>
  </si>
  <si>
    <t>Utiles de Aseo y Limpieza</t>
  </si>
  <si>
    <t>Gastos de Telefono</t>
  </si>
  <si>
    <t>Gasto de Energia Electrica</t>
  </si>
  <si>
    <t>Gasto de Celulares</t>
  </si>
  <si>
    <t>Gasto de Agua</t>
  </si>
  <si>
    <t>Gasto de Dominio</t>
  </si>
  <si>
    <t>Gasto de Internet</t>
  </si>
  <si>
    <t>Gasto Leaging Canon</t>
  </si>
  <si>
    <t>Gasto de Impresion</t>
  </si>
  <si>
    <t>Cable onda</t>
  </si>
  <si>
    <t>Gasto Correos Electronicos</t>
  </si>
  <si>
    <t>Gasto de transporte</t>
  </si>
  <si>
    <t>Fotocopias de Planos</t>
  </si>
  <si>
    <t>Gasto de Viaticos</t>
  </si>
  <si>
    <t>Atencion a Empleados</t>
  </si>
  <si>
    <t>Gasto de Seguro Medico</t>
  </si>
  <si>
    <t>Impuestos Municipales</t>
  </si>
  <si>
    <t>Camara de Comercio</t>
  </si>
  <si>
    <t>Camara P. de Construccion</t>
  </si>
  <si>
    <t>Camara Comercio Colon</t>
  </si>
  <si>
    <t>Gasto Bancario</t>
  </si>
  <si>
    <t>Timbres</t>
  </si>
  <si>
    <t>Recargos y Multas</t>
  </si>
  <si>
    <t>Gasto de Depreciacion</t>
  </si>
  <si>
    <t>Cuentas malas</t>
  </si>
  <si>
    <t>Total:</t>
  </si>
  <si>
    <t>Perdidas Acumuladas</t>
  </si>
  <si>
    <t xml:space="preserve">DESCRIPCION </t>
  </si>
  <si>
    <t xml:space="preserve">SALDOS </t>
  </si>
  <si>
    <t>DEBITO</t>
  </si>
  <si>
    <t>CREDITO</t>
  </si>
  <si>
    <t>INDICACIONES: EN LA COLUMNA TIPO DE CUENTA DEBE COLOCAR LA CLASIFICACION CORRESPONDIENTE DE CADA CUENTA YA SEA ACTIVO, PASIVO, CAPITAL, INGRESO, COSTO O GASTO EN LA SIGUIENTE COLUMNA COLOCAR LOS SALDOS SEGÚN SU NATURALEZA DE CADA CUENTA AMBAS COLUMNAS DEBITO Y CREDITO DEBEN BALANCEAR.</t>
  </si>
  <si>
    <t>UNIVERSIDAD TECNOLOGICA DE PANAMA</t>
  </si>
  <si>
    <t>MATERIA SISTEMAS CONTABLES</t>
  </si>
  <si>
    <t>CLASE</t>
  </si>
  <si>
    <t>CUENTAS</t>
  </si>
  <si>
    <t>Fondos recibidos de Proovedores</t>
  </si>
  <si>
    <t>Ingresos por asesorias</t>
  </si>
  <si>
    <t>Activo</t>
  </si>
  <si>
    <t>Banco</t>
  </si>
  <si>
    <t>Gasto</t>
  </si>
  <si>
    <t>Alquiler</t>
  </si>
  <si>
    <t>Cuentas por Cobrar</t>
  </si>
  <si>
    <t>Pasivo</t>
  </si>
  <si>
    <t>Fondos recibidos</t>
  </si>
  <si>
    <t>Depósitos en Garantía</t>
  </si>
  <si>
    <t>Propiedad, Planta y Equipo</t>
  </si>
  <si>
    <t>Contra-Activo</t>
  </si>
  <si>
    <t>Depreciación Acumulada</t>
  </si>
  <si>
    <t>Cuentas por Pagar</t>
  </si>
  <si>
    <t>CxP Accionistas</t>
  </si>
  <si>
    <t>ITBMS por pagar</t>
  </si>
  <si>
    <t>Retenciones por pagar</t>
  </si>
  <si>
    <t>Provisión Vacaciones</t>
  </si>
  <si>
    <t>Provisión XIII Mes</t>
  </si>
  <si>
    <t>Provisión Prima Antigüedad</t>
  </si>
  <si>
    <t>Anticipo de Clientes</t>
  </si>
  <si>
    <t>Patrimonio</t>
  </si>
  <si>
    <t>Resultados Acumulados</t>
  </si>
  <si>
    <t>Ingreso</t>
  </si>
  <si>
    <t>Ventas/Ingresos</t>
  </si>
  <si>
    <t>Gasto de Personal</t>
  </si>
  <si>
    <t>Beneficios Laborales</t>
  </si>
  <si>
    <t>Prestaciones Laborales</t>
  </si>
  <si>
    <t>Incentivos</t>
  </si>
  <si>
    <t>Servicios Profesionales</t>
  </si>
  <si>
    <t>Servicios Generales</t>
  </si>
  <si>
    <t>Capacitación</t>
  </si>
  <si>
    <t>Cargas Sociales</t>
  </si>
  <si>
    <t>Impuestos</t>
  </si>
  <si>
    <t>Mantenimiento</t>
  </si>
  <si>
    <t>Papelería</t>
  </si>
  <si>
    <t>Aseo y Limpieza</t>
  </si>
  <si>
    <t>Telecomunicaciones</t>
  </si>
  <si>
    <t>Servicios Básicos</t>
  </si>
  <si>
    <t>Servicios Tecnológicos</t>
  </si>
  <si>
    <t>Arrendamientos</t>
  </si>
  <si>
    <t>Impresiones</t>
  </si>
  <si>
    <t>Transporte</t>
  </si>
  <si>
    <t>Viáticos</t>
  </si>
  <si>
    <t>Bienestar Laboral</t>
  </si>
  <si>
    <t>Cuotas y Membresías</t>
  </si>
  <si>
    <t>Gastos Financieros</t>
  </si>
  <si>
    <t>Multas y Recargos</t>
  </si>
  <si>
    <t>Depreciación</t>
  </si>
  <si>
    <t>Incobrables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</si>
</sst>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-#,##0.00;* ??"/>
  </numFmts>
  <fonts count="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9"/>
      <color theme="1"/>
      <name val="Arial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39" fontId="0" fillId="0" borderId="0" xfId="0" applyNumberFormat="1"/>
    <xf numFmtId="49" fontId="3" fillId="0" borderId="2" xfId="0" applyNumberFormat="1" applyFont="1" applyBorder="1" applyAlignment="1">
      <alignment horizontal="center"/>
    </xf>
    <xf numFmtId="49" fontId="3" fillId="0" borderId="3" xfId="0" applyNumberFormat="1" applyFont="1" applyBorder="1" applyAlignment="1">
      <alignment horizontal="center"/>
    </xf>
    <xf numFmtId="49" fontId="4" fillId="0" borderId="5" xfId="0" applyNumberFormat="1" applyFont="1" applyBorder="1" applyAlignment="1">
      <alignment horizontal="left"/>
    </xf>
    <xf numFmtId="164" fontId="4" fillId="0" borderId="5" xfId="0" applyNumberFormat="1" applyFont="1" applyBorder="1" applyAlignment="1">
      <alignment horizontal="right"/>
    </xf>
    <xf numFmtId="49" fontId="4" fillId="0" borderId="6" xfId="0" applyNumberFormat="1" applyFont="1" applyBorder="1" applyAlignment="1">
      <alignment horizontal="left"/>
    </xf>
    <xf numFmtId="164" fontId="4" fillId="0" borderId="6" xfId="0" applyNumberFormat="1" applyFont="1" applyBorder="1" applyAlignment="1">
      <alignment horizontal="right"/>
    </xf>
    <xf numFmtId="0" fontId="0" fillId="0" borderId="6" xfId="0" applyBorder="1"/>
    <xf numFmtId="49" fontId="3" fillId="0" borderId="6" xfId="0" applyNumberFormat="1" applyFont="1" applyBorder="1" applyAlignment="1">
      <alignment horizontal="left"/>
    </xf>
    <xf numFmtId="164" fontId="3" fillId="0" borderId="6" xfId="0" applyNumberFormat="1" applyFont="1" applyBorder="1" applyAlignment="1">
      <alignment horizontal="right"/>
    </xf>
    <xf numFmtId="164" fontId="4" fillId="0" borderId="7" xfId="0" applyNumberFormat="1" applyFont="1" applyBorder="1" applyAlignment="1">
      <alignment horizontal="right"/>
    </xf>
    <xf numFmtId="0" fontId="5" fillId="0" borderId="1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164" fontId="5" fillId="0" borderId="6" xfId="0" applyNumberFormat="1" applyFont="1" applyBorder="1"/>
    <xf numFmtId="0" fontId="6" fillId="0" borderId="0" xfId="0" applyFont="1" applyAlignment="1">
      <alignment vertical="top" wrapText="1" shrinkToFi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4" fontId="1" fillId="0" borderId="0" xfId="1" applyNumberFormat="1"/>
    <xf numFmtId="0" fontId="1" fillId="0" borderId="0" xfId="1"/>
  </cellXfs>
  <cellStyles count="2">
    <cellStyle name="Normal" xfId="0" builtinId="0"/>
    <cellStyle name="Normal 2" xfId="1" xr:uid="{5E9169BA-DFA8-4345-AE12-11195B2FD4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2"/>
  <sheetViews>
    <sheetView tabSelected="1" topLeftCell="A2" zoomScale="42" zoomScaleNormal="66" workbookViewId="0">
      <pane xSplit="3" ySplit="4" topLeftCell="D26" activePane="bottomRight" state="frozen"/>
      <selection activeCell="A2" sqref="A2"/>
      <selection pane="topRight" activeCell="D2" sqref="D2"/>
      <selection pane="bottomLeft" activeCell="A6" sqref="A6"/>
      <selection pane="bottomRight" activeCell="J51" sqref="J51"/>
    </sheetView>
  </sheetViews>
  <sheetFormatPr baseColWidth="10" defaultRowHeight="15.5" x14ac:dyDescent="0.35"/>
  <cols>
    <col min="1" max="1" width="28.5" customWidth="1"/>
    <col min="2" max="2" width="12.4140625" hidden="1" customWidth="1"/>
    <col min="3" max="3" width="0" hidden="1" customWidth="1"/>
    <col min="4" max="4" width="13.08203125" bestFit="1" customWidth="1"/>
    <col min="5" max="6" width="19.9140625" customWidth="1"/>
    <col min="7" max="7" width="17.9140625" customWidth="1"/>
    <col min="8" max="8" width="16.9140625" customWidth="1"/>
  </cols>
  <sheetData>
    <row r="1" spans="1:8" x14ac:dyDescent="0.35">
      <c r="A1" s="16" t="s">
        <v>70</v>
      </c>
      <c r="B1" s="16"/>
      <c r="C1" s="16"/>
      <c r="D1" s="16"/>
      <c r="E1" s="16"/>
      <c r="F1" s="16"/>
      <c r="G1" s="16"/>
      <c r="H1" s="16"/>
    </row>
    <row r="2" spans="1:8" x14ac:dyDescent="0.35">
      <c r="A2" s="16"/>
      <c r="B2" s="16"/>
      <c r="C2" s="16"/>
      <c r="D2" s="16"/>
      <c r="E2" s="16"/>
      <c r="F2" s="16"/>
      <c r="G2" s="16"/>
      <c r="H2" s="16"/>
    </row>
    <row r="3" spans="1:8" ht="16" thickBot="1" x14ac:dyDescent="0.4">
      <c r="A3" s="17" t="s">
        <v>71</v>
      </c>
      <c r="B3" s="17"/>
      <c r="C3" s="17"/>
      <c r="D3" s="17"/>
      <c r="E3" s="17"/>
      <c r="F3" s="17"/>
      <c r="G3" s="17"/>
      <c r="H3" s="17"/>
    </row>
    <row r="4" spans="1:8" ht="40.5" hidden="1" customHeight="1" thickBot="1" x14ac:dyDescent="0.4">
      <c r="A4" s="15" t="s">
        <v>69</v>
      </c>
      <c r="B4" s="15"/>
      <c r="C4" s="15"/>
      <c r="D4" s="15"/>
      <c r="E4" s="15"/>
      <c r="F4" s="15"/>
      <c r="G4" s="15"/>
      <c r="H4" s="15"/>
    </row>
    <row r="5" spans="1:8" ht="16" thickBot="1" x14ac:dyDescent="0.4">
      <c r="A5" s="2" t="s">
        <v>65</v>
      </c>
      <c r="B5" s="3" t="s">
        <v>0</v>
      </c>
      <c r="C5" s="3" t="s">
        <v>1</v>
      </c>
      <c r="D5" s="12" t="s">
        <v>66</v>
      </c>
      <c r="E5" s="12" t="s">
        <v>72</v>
      </c>
      <c r="F5" s="12" t="s">
        <v>73</v>
      </c>
      <c r="G5" s="12" t="s">
        <v>67</v>
      </c>
      <c r="H5" s="13" t="s">
        <v>68</v>
      </c>
    </row>
    <row r="6" spans="1:8" x14ac:dyDescent="0.35">
      <c r="A6" s="4" t="s">
        <v>2</v>
      </c>
      <c r="B6" s="5">
        <v>1797.06</v>
      </c>
      <c r="C6" s="5"/>
      <c r="D6" s="5">
        <v>1797.06</v>
      </c>
      <c r="E6" s="19" t="s">
        <v>76</v>
      </c>
      <c r="F6" s="19" t="s">
        <v>77</v>
      </c>
      <c r="G6" s="19">
        <v>1797.06</v>
      </c>
      <c r="H6" s="19"/>
    </row>
    <row r="7" spans="1:8" x14ac:dyDescent="0.35">
      <c r="A7" s="6" t="s">
        <v>3</v>
      </c>
      <c r="B7" s="7">
        <v>14947.38</v>
      </c>
      <c r="C7" s="7"/>
      <c r="D7" s="7">
        <v>14947.38</v>
      </c>
      <c r="E7" s="19" t="s">
        <v>76</v>
      </c>
      <c r="F7" s="19" t="s">
        <v>80</v>
      </c>
      <c r="G7" s="19">
        <v>14947.38</v>
      </c>
      <c r="H7" s="19"/>
    </row>
    <row r="8" spans="1:8" x14ac:dyDescent="0.35">
      <c r="A8" s="6" t="s">
        <v>74</v>
      </c>
      <c r="B8" s="7"/>
      <c r="C8" s="7">
        <v>4978.8500000000004</v>
      </c>
      <c r="D8" s="7">
        <f>+C8</f>
        <v>4978.8500000000004</v>
      </c>
      <c r="E8" s="19" t="s">
        <v>81</v>
      </c>
      <c r="F8" s="19" t="s">
        <v>82</v>
      </c>
      <c r="G8" s="19"/>
      <c r="H8" s="19">
        <v>4978.8500000000004</v>
      </c>
    </row>
    <row r="9" spans="1:8" x14ac:dyDescent="0.35">
      <c r="A9" s="6" t="s">
        <v>4</v>
      </c>
      <c r="B9" s="7">
        <v>141</v>
      </c>
      <c r="C9" s="7"/>
      <c r="D9" s="7">
        <v>141</v>
      </c>
      <c r="E9" s="19" t="s">
        <v>76</v>
      </c>
      <c r="F9" s="19" t="s">
        <v>83</v>
      </c>
      <c r="G9" s="19">
        <v>141</v>
      </c>
      <c r="H9" s="19"/>
    </row>
    <row r="10" spans="1:8" x14ac:dyDescent="0.35">
      <c r="A10" s="6" t="s">
        <v>5</v>
      </c>
      <c r="B10" s="7">
        <v>250</v>
      </c>
      <c r="C10" s="7"/>
      <c r="D10" s="7">
        <v>250</v>
      </c>
      <c r="E10" s="19" t="s">
        <v>76</v>
      </c>
      <c r="F10" s="19" t="s">
        <v>83</v>
      </c>
      <c r="G10" s="19">
        <v>250</v>
      </c>
      <c r="H10" s="19"/>
    </row>
    <row r="11" spans="1:8" x14ac:dyDescent="0.35">
      <c r="A11" s="6" t="s">
        <v>6</v>
      </c>
      <c r="B11" s="7">
        <v>61.45</v>
      </c>
      <c r="C11" s="7"/>
      <c r="D11" s="7">
        <v>61.45</v>
      </c>
      <c r="E11" s="19" t="s">
        <v>76</v>
      </c>
      <c r="F11" s="19" t="s">
        <v>83</v>
      </c>
      <c r="G11" s="19">
        <v>61.45</v>
      </c>
      <c r="H11" s="19"/>
    </row>
    <row r="12" spans="1:8" x14ac:dyDescent="0.35">
      <c r="A12" s="6" t="s">
        <v>7</v>
      </c>
      <c r="B12" s="7">
        <v>3000</v>
      </c>
      <c r="C12" s="7"/>
      <c r="D12" s="7">
        <v>3000</v>
      </c>
      <c r="E12" s="19" t="s">
        <v>76</v>
      </c>
      <c r="F12" s="19" t="s">
        <v>83</v>
      </c>
      <c r="G12" s="19">
        <v>3000</v>
      </c>
      <c r="H12" s="19"/>
    </row>
    <row r="13" spans="1:8" x14ac:dyDescent="0.35">
      <c r="A13" s="6" t="s">
        <v>8</v>
      </c>
      <c r="B13" s="7">
        <v>72471.63</v>
      </c>
      <c r="C13" s="7"/>
      <c r="D13" s="7">
        <v>72471.63</v>
      </c>
      <c r="E13" s="19" t="s">
        <v>76</v>
      </c>
      <c r="F13" s="19" t="s">
        <v>84</v>
      </c>
      <c r="G13" s="19">
        <v>72471.63</v>
      </c>
      <c r="H13" s="19"/>
    </row>
    <row r="14" spans="1:8" x14ac:dyDescent="0.35">
      <c r="A14" s="6" t="s">
        <v>9</v>
      </c>
      <c r="B14" s="7">
        <v>42076.93</v>
      </c>
      <c r="C14" s="7"/>
      <c r="D14" s="7">
        <v>42076.93</v>
      </c>
      <c r="E14" s="19" t="s">
        <v>76</v>
      </c>
      <c r="F14" s="19" t="s">
        <v>84</v>
      </c>
      <c r="G14" s="19">
        <v>42076.93</v>
      </c>
      <c r="H14" s="19"/>
    </row>
    <row r="15" spans="1:8" x14ac:dyDescent="0.35">
      <c r="A15" s="6" t="s">
        <v>10</v>
      </c>
      <c r="B15" s="7"/>
      <c r="C15" s="7">
        <v>13182.92</v>
      </c>
      <c r="D15" s="7">
        <f t="shared" ref="D15:D24" si="0">+C15</f>
        <v>13182.92</v>
      </c>
      <c r="E15" s="19" t="s">
        <v>85</v>
      </c>
      <c r="F15" s="19" t="s">
        <v>86</v>
      </c>
      <c r="G15" s="19"/>
      <c r="H15" s="19">
        <v>13182.92</v>
      </c>
    </row>
    <row r="16" spans="1:8" x14ac:dyDescent="0.35">
      <c r="A16" s="6" t="s">
        <v>11</v>
      </c>
      <c r="B16" s="7"/>
      <c r="C16" s="7">
        <v>12553.41</v>
      </c>
      <c r="D16" s="7">
        <f t="shared" si="0"/>
        <v>12553.41</v>
      </c>
      <c r="E16" s="19" t="s">
        <v>85</v>
      </c>
      <c r="F16" s="19" t="s">
        <v>86</v>
      </c>
      <c r="G16" s="19"/>
      <c r="H16" s="19">
        <v>12553.41</v>
      </c>
    </row>
    <row r="17" spans="1:8" x14ac:dyDescent="0.35">
      <c r="A17" s="6" t="s">
        <v>12</v>
      </c>
      <c r="B17" s="7"/>
      <c r="C17" s="7">
        <v>126285.26</v>
      </c>
      <c r="D17" s="7">
        <f t="shared" si="0"/>
        <v>126285.26</v>
      </c>
      <c r="E17" s="19" t="s">
        <v>81</v>
      </c>
      <c r="F17" s="19" t="s">
        <v>87</v>
      </c>
      <c r="G17" s="19"/>
      <c r="H17" s="19">
        <v>126285.26</v>
      </c>
    </row>
    <row r="18" spans="1:8" x14ac:dyDescent="0.35">
      <c r="A18" s="6" t="s">
        <v>13</v>
      </c>
      <c r="B18" s="7"/>
      <c r="C18" s="7">
        <v>214738.82</v>
      </c>
      <c r="D18" s="7">
        <f t="shared" si="0"/>
        <v>214738.82</v>
      </c>
      <c r="E18" s="19" t="s">
        <v>81</v>
      </c>
      <c r="F18" s="19" t="s">
        <v>88</v>
      </c>
      <c r="G18" s="19"/>
      <c r="H18" s="19">
        <v>214738.82</v>
      </c>
    </row>
    <row r="19" spans="1:8" x14ac:dyDescent="0.35">
      <c r="A19" s="6" t="s">
        <v>14</v>
      </c>
      <c r="B19" s="7"/>
      <c r="C19" s="7">
        <v>23207.279999999999</v>
      </c>
      <c r="D19" s="7">
        <f t="shared" si="0"/>
        <v>23207.279999999999</v>
      </c>
      <c r="E19" s="19" t="s">
        <v>81</v>
      </c>
      <c r="F19" s="19" t="s">
        <v>89</v>
      </c>
      <c r="G19" s="19"/>
      <c r="H19" s="19">
        <v>23207.279999999999</v>
      </c>
    </row>
    <row r="20" spans="1:8" x14ac:dyDescent="0.35">
      <c r="A20" s="6" t="s">
        <v>15</v>
      </c>
      <c r="B20" s="7"/>
      <c r="C20" s="7">
        <v>1459.1</v>
      </c>
      <c r="D20" s="7">
        <f t="shared" si="0"/>
        <v>1459.1</v>
      </c>
      <c r="E20" s="19" t="s">
        <v>81</v>
      </c>
      <c r="F20" s="19" t="s">
        <v>90</v>
      </c>
      <c r="G20" s="19"/>
      <c r="H20" s="19">
        <v>1459.1</v>
      </c>
    </row>
    <row r="21" spans="1:8" x14ac:dyDescent="0.35">
      <c r="A21" s="6" t="s">
        <v>16</v>
      </c>
      <c r="B21" s="7"/>
      <c r="C21" s="7">
        <v>19003.07</v>
      </c>
      <c r="D21" s="7">
        <f t="shared" si="0"/>
        <v>19003.07</v>
      </c>
      <c r="E21" s="19" t="s">
        <v>81</v>
      </c>
      <c r="F21" s="19" t="s">
        <v>91</v>
      </c>
      <c r="G21" s="19"/>
      <c r="H21" s="19">
        <v>19003.07</v>
      </c>
    </row>
    <row r="22" spans="1:8" x14ac:dyDescent="0.35">
      <c r="A22" s="6" t="s">
        <v>17</v>
      </c>
      <c r="B22" s="7"/>
      <c r="C22" s="7">
        <v>670.77</v>
      </c>
      <c r="D22" s="7">
        <f t="shared" si="0"/>
        <v>670.77</v>
      </c>
      <c r="E22" s="19" t="s">
        <v>81</v>
      </c>
      <c r="F22" s="19" t="s">
        <v>92</v>
      </c>
      <c r="G22" s="19"/>
      <c r="H22" s="19">
        <v>670.77</v>
      </c>
    </row>
    <row r="23" spans="1:8" x14ac:dyDescent="0.35">
      <c r="A23" s="6" t="s">
        <v>18</v>
      </c>
      <c r="B23" s="7"/>
      <c r="C23" s="7">
        <v>3318.11</v>
      </c>
      <c r="D23" s="7">
        <f t="shared" si="0"/>
        <v>3318.11</v>
      </c>
      <c r="E23" s="19" t="s">
        <v>81</v>
      </c>
      <c r="F23" s="19" t="s">
        <v>93</v>
      </c>
      <c r="G23" s="19"/>
      <c r="H23" s="19">
        <v>3318.11</v>
      </c>
    </row>
    <row r="24" spans="1:8" x14ac:dyDescent="0.35">
      <c r="A24" s="6" t="s">
        <v>19</v>
      </c>
      <c r="B24" s="7"/>
      <c r="C24" s="7">
        <v>19214.55</v>
      </c>
      <c r="D24" s="7">
        <f t="shared" si="0"/>
        <v>19214.55</v>
      </c>
      <c r="E24" s="19" t="s">
        <v>81</v>
      </c>
      <c r="F24" s="19" t="s">
        <v>94</v>
      </c>
      <c r="G24" s="19"/>
      <c r="H24" s="19">
        <v>19214.55</v>
      </c>
    </row>
    <row r="25" spans="1:8" x14ac:dyDescent="0.35">
      <c r="A25" s="6" t="s">
        <v>64</v>
      </c>
      <c r="B25" s="7">
        <v>225930.04</v>
      </c>
      <c r="C25" s="7"/>
      <c r="D25" s="7">
        <v>225930.04</v>
      </c>
      <c r="E25" s="19" t="s">
        <v>95</v>
      </c>
      <c r="F25" s="19" t="s">
        <v>96</v>
      </c>
      <c r="G25" s="19"/>
      <c r="H25" s="19">
        <v>225930.04</v>
      </c>
    </row>
    <row r="26" spans="1:8" x14ac:dyDescent="0.35">
      <c r="A26" s="6" t="s">
        <v>75</v>
      </c>
      <c r="B26" s="7"/>
      <c r="C26" s="7">
        <v>503451.4</v>
      </c>
      <c r="D26" s="7">
        <f>+C26</f>
        <v>503451.4</v>
      </c>
      <c r="E26" s="19" t="s">
        <v>97</v>
      </c>
      <c r="F26" s="19" t="s">
        <v>98</v>
      </c>
      <c r="G26" s="19"/>
      <c r="H26" s="19">
        <v>503451.4</v>
      </c>
    </row>
    <row r="27" spans="1:8" x14ac:dyDescent="0.35">
      <c r="A27" s="6" t="s">
        <v>20</v>
      </c>
      <c r="B27" s="7">
        <v>175582.54</v>
      </c>
      <c r="C27" s="7"/>
      <c r="D27" s="7">
        <v>175582.54</v>
      </c>
      <c r="E27" s="19" t="s">
        <v>78</v>
      </c>
      <c r="F27" s="19" t="s">
        <v>99</v>
      </c>
      <c r="G27" s="19">
        <v>175582.54</v>
      </c>
      <c r="H27" s="19"/>
    </row>
    <row r="28" spans="1:8" x14ac:dyDescent="0.35">
      <c r="A28" s="6" t="s">
        <v>21</v>
      </c>
      <c r="B28" s="7">
        <v>15313.25</v>
      </c>
      <c r="C28" s="7"/>
      <c r="D28" s="7">
        <v>15313.25</v>
      </c>
      <c r="E28" s="19" t="s">
        <v>78</v>
      </c>
      <c r="F28" s="19" t="s">
        <v>100</v>
      </c>
      <c r="G28" s="19">
        <v>15313.25</v>
      </c>
      <c r="H28" s="19"/>
    </row>
    <row r="29" spans="1:8" x14ac:dyDescent="0.35">
      <c r="A29" s="6" t="s">
        <v>22</v>
      </c>
      <c r="B29" s="7">
        <v>15254.52</v>
      </c>
      <c r="C29" s="7"/>
      <c r="D29" s="7">
        <v>15254.52</v>
      </c>
      <c r="E29" s="19" t="s">
        <v>78</v>
      </c>
      <c r="F29" s="19" t="s">
        <v>100</v>
      </c>
      <c r="G29" s="19">
        <v>15254.52</v>
      </c>
      <c r="H29" s="19"/>
    </row>
    <row r="30" spans="1:8" x14ac:dyDescent="0.35">
      <c r="A30" s="6" t="s">
        <v>23</v>
      </c>
      <c r="B30" s="7">
        <v>3514.65</v>
      </c>
      <c r="C30" s="7"/>
      <c r="D30" s="7">
        <v>3514.65</v>
      </c>
      <c r="E30" s="19" t="s">
        <v>78</v>
      </c>
      <c r="F30" s="19" t="s">
        <v>100</v>
      </c>
      <c r="G30" s="19">
        <v>3514.65</v>
      </c>
      <c r="H30" s="19"/>
    </row>
    <row r="31" spans="1:8" x14ac:dyDescent="0.35">
      <c r="A31" s="6" t="s">
        <v>24</v>
      </c>
      <c r="B31" s="7">
        <v>6550.24</v>
      </c>
      <c r="C31" s="7"/>
      <c r="D31" s="7">
        <v>6550.24</v>
      </c>
      <c r="E31" s="19" t="s">
        <v>78</v>
      </c>
      <c r="F31" s="19" t="s">
        <v>101</v>
      </c>
      <c r="G31" s="19">
        <v>6550.24</v>
      </c>
      <c r="H31" s="19"/>
    </row>
    <row r="32" spans="1:8" x14ac:dyDescent="0.35">
      <c r="A32" s="6" t="s">
        <v>25</v>
      </c>
      <c r="B32" s="7">
        <v>2025</v>
      </c>
      <c r="C32" s="7"/>
      <c r="D32" s="7">
        <v>2025</v>
      </c>
      <c r="E32" s="19" t="s">
        <v>78</v>
      </c>
      <c r="F32" s="19" t="s">
        <v>102</v>
      </c>
      <c r="G32" s="19">
        <v>2025</v>
      </c>
      <c r="H32" s="19"/>
    </row>
    <row r="33" spans="1:8" x14ac:dyDescent="0.35">
      <c r="A33" s="6" t="s">
        <v>26</v>
      </c>
      <c r="B33" s="7">
        <v>112939.67</v>
      </c>
      <c r="C33" s="7"/>
      <c r="D33" s="7">
        <v>112939.67</v>
      </c>
      <c r="E33" s="19" t="s">
        <v>78</v>
      </c>
      <c r="F33" s="19" t="s">
        <v>103</v>
      </c>
      <c r="G33" s="19">
        <v>112939.67</v>
      </c>
      <c r="H33" s="19"/>
    </row>
    <row r="34" spans="1:8" x14ac:dyDescent="0.35">
      <c r="A34" s="6" t="s">
        <v>27</v>
      </c>
      <c r="B34" s="7">
        <v>10066.299999999999</v>
      </c>
      <c r="C34" s="7"/>
      <c r="D34" s="7">
        <v>10066.299999999999</v>
      </c>
      <c r="E34" s="19" t="s">
        <v>78</v>
      </c>
      <c r="F34" s="19" t="s">
        <v>103</v>
      </c>
      <c r="G34" s="19">
        <v>10066.299999999999</v>
      </c>
      <c r="H34" s="19"/>
    </row>
    <row r="35" spans="1:8" x14ac:dyDescent="0.35">
      <c r="A35" s="6" t="s">
        <v>28</v>
      </c>
      <c r="B35" s="7">
        <v>80106.17</v>
      </c>
      <c r="C35" s="7"/>
      <c r="D35" s="7">
        <v>80106.17</v>
      </c>
      <c r="E35" s="19" t="s">
        <v>78</v>
      </c>
      <c r="F35" s="19" t="s">
        <v>103</v>
      </c>
      <c r="G35" s="19">
        <v>80106.17</v>
      </c>
      <c r="H35" s="19"/>
    </row>
    <row r="36" spans="1:8" x14ac:dyDescent="0.35">
      <c r="A36" s="6" t="s">
        <v>29</v>
      </c>
      <c r="B36" s="7">
        <v>1672</v>
      </c>
      <c r="C36" s="7"/>
      <c r="D36" s="7">
        <v>1672</v>
      </c>
      <c r="E36" s="19" t="s">
        <v>78</v>
      </c>
      <c r="F36" s="19" t="s">
        <v>104</v>
      </c>
      <c r="G36" s="19">
        <v>1672</v>
      </c>
      <c r="H36" s="19"/>
    </row>
    <row r="37" spans="1:8" x14ac:dyDescent="0.35">
      <c r="A37" s="6" t="s">
        <v>30</v>
      </c>
      <c r="B37" s="7">
        <v>1200</v>
      </c>
      <c r="C37" s="7"/>
      <c r="D37" s="7">
        <v>1200</v>
      </c>
      <c r="E37" s="19" t="s">
        <v>78</v>
      </c>
      <c r="F37" s="19" t="s">
        <v>105</v>
      </c>
      <c r="G37" s="19">
        <v>1200</v>
      </c>
      <c r="H37" s="8"/>
    </row>
    <row r="38" spans="1:8" x14ac:dyDescent="0.35">
      <c r="A38" s="6" t="s">
        <v>31</v>
      </c>
      <c r="B38" s="7">
        <v>24063.43</v>
      </c>
      <c r="C38" s="7"/>
      <c r="D38" s="7">
        <v>24063.43</v>
      </c>
      <c r="E38" s="19" t="s">
        <v>78</v>
      </c>
      <c r="F38" s="19" t="s">
        <v>106</v>
      </c>
      <c r="G38" s="19">
        <v>24063.43</v>
      </c>
      <c r="H38" s="8"/>
    </row>
    <row r="39" spans="1:8" x14ac:dyDescent="0.35">
      <c r="A39" s="6" t="s">
        <v>32</v>
      </c>
      <c r="B39" s="7">
        <v>2745.84</v>
      </c>
      <c r="C39" s="7"/>
      <c r="D39" s="7">
        <v>2745.84</v>
      </c>
      <c r="E39" s="19" t="s">
        <v>78</v>
      </c>
      <c r="F39" s="19" t="s">
        <v>106</v>
      </c>
      <c r="G39" s="19">
        <v>2745.84</v>
      </c>
      <c r="H39" s="8"/>
    </row>
    <row r="40" spans="1:8" x14ac:dyDescent="0.35">
      <c r="A40" s="6" t="s">
        <v>33</v>
      </c>
      <c r="B40" s="7">
        <v>10379.23</v>
      </c>
      <c r="C40" s="7"/>
      <c r="D40" s="7">
        <v>10379.23</v>
      </c>
      <c r="E40" s="19" t="s">
        <v>78</v>
      </c>
      <c r="F40" s="19" t="s">
        <v>106</v>
      </c>
      <c r="G40" s="19">
        <v>10379.23</v>
      </c>
      <c r="H40" s="8"/>
    </row>
    <row r="41" spans="1:8" x14ac:dyDescent="0.35">
      <c r="A41" s="6" t="s">
        <v>34</v>
      </c>
      <c r="B41" s="7">
        <v>350</v>
      </c>
      <c r="C41" s="7"/>
      <c r="D41" s="7">
        <v>350</v>
      </c>
      <c r="E41" s="19" t="s">
        <v>78</v>
      </c>
      <c r="F41" s="19" t="s">
        <v>107</v>
      </c>
      <c r="G41" s="19">
        <v>350</v>
      </c>
      <c r="H41" s="8"/>
    </row>
    <row r="42" spans="1:8" x14ac:dyDescent="0.35">
      <c r="A42" s="6" t="s">
        <v>35</v>
      </c>
      <c r="B42" s="7">
        <v>36000</v>
      </c>
      <c r="C42" s="7"/>
      <c r="D42" s="7">
        <v>36000</v>
      </c>
      <c r="E42" s="19" t="s">
        <v>78</v>
      </c>
      <c r="F42" s="19" t="s">
        <v>79</v>
      </c>
      <c r="G42" s="19">
        <v>36000</v>
      </c>
      <c r="H42" s="8"/>
    </row>
    <row r="43" spans="1:8" x14ac:dyDescent="0.35">
      <c r="A43" s="6" t="s">
        <v>36</v>
      </c>
      <c r="B43" s="7">
        <v>495</v>
      </c>
      <c r="C43" s="7"/>
      <c r="D43" s="7">
        <v>495</v>
      </c>
      <c r="E43" s="19" t="s">
        <v>78</v>
      </c>
      <c r="F43" s="19" t="s">
        <v>108</v>
      </c>
      <c r="G43" s="19">
        <v>495</v>
      </c>
      <c r="H43" s="8"/>
    </row>
    <row r="44" spans="1:8" x14ac:dyDescent="0.35">
      <c r="A44" s="6" t="s">
        <v>37</v>
      </c>
      <c r="B44" s="7">
        <v>293.95</v>
      </c>
      <c r="C44" s="7"/>
      <c r="D44" s="7">
        <v>293.95</v>
      </c>
      <c r="E44" s="19" t="s">
        <v>78</v>
      </c>
      <c r="F44" s="19" t="s">
        <v>109</v>
      </c>
      <c r="G44" s="19">
        <v>293.95</v>
      </c>
      <c r="H44" s="8"/>
    </row>
    <row r="45" spans="1:8" x14ac:dyDescent="0.35">
      <c r="A45" s="6" t="s">
        <v>38</v>
      </c>
      <c r="B45" s="7">
        <v>393.61</v>
      </c>
      <c r="C45" s="7"/>
      <c r="D45" s="7">
        <v>393.61</v>
      </c>
      <c r="E45" s="19" t="s">
        <v>78</v>
      </c>
      <c r="F45" s="19" t="s">
        <v>110</v>
      </c>
      <c r="G45" s="19">
        <v>393.61</v>
      </c>
      <c r="H45" s="8"/>
    </row>
    <row r="46" spans="1:8" x14ac:dyDescent="0.35">
      <c r="A46" s="6" t="s">
        <v>39</v>
      </c>
      <c r="B46" s="7">
        <v>33.29</v>
      </c>
      <c r="C46" s="7"/>
      <c r="D46" s="7">
        <v>33.29</v>
      </c>
      <c r="E46" s="19" t="s">
        <v>78</v>
      </c>
      <c r="F46" s="19" t="s">
        <v>111</v>
      </c>
      <c r="G46" s="19">
        <v>33.29</v>
      </c>
      <c r="H46" s="8"/>
    </row>
    <row r="47" spans="1:8" x14ac:dyDescent="0.35">
      <c r="A47" s="6" t="s">
        <v>40</v>
      </c>
      <c r="B47" s="7">
        <v>2275.41</v>
      </c>
      <c r="C47" s="7"/>
      <c r="D47" s="7">
        <v>2275.41</v>
      </c>
      <c r="E47" s="19" t="s">
        <v>78</v>
      </c>
      <c r="F47" s="19" t="s">
        <v>112</v>
      </c>
      <c r="G47" s="19">
        <v>2275.41</v>
      </c>
      <c r="H47" s="8"/>
    </row>
    <row r="48" spans="1:8" x14ac:dyDescent="0.35">
      <c r="A48" s="6" t="s">
        <v>41</v>
      </c>
      <c r="B48" s="7">
        <v>7060.83</v>
      </c>
      <c r="C48" s="7"/>
      <c r="D48" s="7">
        <v>7060.83</v>
      </c>
      <c r="E48" s="19" t="s">
        <v>78</v>
      </c>
      <c r="F48" s="19" t="s">
        <v>111</v>
      </c>
      <c r="G48" s="19">
        <v>7060.83</v>
      </c>
      <c r="H48" s="8"/>
    </row>
    <row r="49" spans="1:8" x14ac:dyDescent="0.35">
      <c r="A49" s="6" t="s">
        <v>42</v>
      </c>
      <c r="B49" s="7">
        <v>518.6</v>
      </c>
      <c r="C49" s="7"/>
      <c r="D49" s="7">
        <v>518.6</v>
      </c>
      <c r="E49" s="19" t="s">
        <v>78</v>
      </c>
      <c r="F49" s="19" t="s">
        <v>112</v>
      </c>
      <c r="G49" s="19">
        <v>518.6</v>
      </c>
      <c r="H49" s="8"/>
    </row>
    <row r="50" spans="1:8" x14ac:dyDescent="0.35">
      <c r="A50" s="6" t="s">
        <v>43</v>
      </c>
      <c r="B50" s="7">
        <v>1892.79</v>
      </c>
      <c r="C50" s="7"/>
      <c r="D50" s="7">
        <v>1892.79</v>
      </c>
      <c r="E50" s="19" t="s">
        <v>78</v>
      </c>
      <c r="F50" s="19" t="s">
        <v>113</v>
      </c>
      <c r="G50" s="19">
        <v>1892.79</v>
      </c>
      <c r="H50" s="8"/>
    </row>
    <row r="51" spans="1:8" x14ac:dyDescent="0.35">
      <c r="A51" s="6" t="s">
        <v>44</v>
      </c>
      <c r="B51" s="7">
        <v>7302</v>
      </c>
      <c r="C51" s="7"/>
      <c r="D51" s="7">
        <v>7302</v>
      </c>
      <c r="E51" s="19" t="s">
        <v>78</v>
      </c>
      <c r="F51" s="19" t="s">
        <v>113</v>
      </c>
      <c r="G51" s="19">
        <v>7302</v>
      </c>
      <c r="H51" s="8"/>
    </row>
    <row r="52" spans="1:8" x14ac:dyDescent="0.35">
      <c r="A52" s="6" t="s">
        <v>45</v>
      </c>
      <c r="B52" s="7">
        <v>2914.94</v>
      </c>
      <c r="C52" s="7"/>
      <c r="D52" s="7">
        <v>2914.94</v>
      </c>
      <c r="E52" s="19" t="s">
        <v>78</v>
      </c>
      <c r="F52" s="19" t="s">
        <v>114</v>
      </c>
      <c r="G52" s="19">
        <v>2914.94</v>
      </c>
      <c r="H52" s="8"/>
    </row>
    <row r="53" spans="1:8" x14ac:dyDescent="0.35">
      <c r="A53" s="6" t="s">
        <v>46</v>
      </c>
      <c r="B53" s="7">
        <v>2500</v>
      </c>
      <c r="C53" s="7"/>
      <c r="D53" s="7">
        <v>2500</v>
      </c>
      <c r="E53" s="19" t="s">
        <v>78</v>
      </c>
      <c r="F53" s="19" t="s">
        <v>115</v>
      </c>
      <c r="G53" s="19">
        <v>2500</v>
      </c>
      <c r="H53" s="8"/>
    </row>
    <row r="54" spans="1:8" x14ac:dyDescent="0.35">
      <c r="A54" s="6" t="s">
        <v>47</v>
      </c>
      <c r="B54" s="7">
        <v>927.38</v>
      </c>
      <c r="C54" s="7"/>
      <c r="D54" s="7">
        <v>927.38</v>
      </c>
      <c r="E54" s="19" t="s">
        <v>78</v>
      </c>
      <c r="F54" s="19" t="s">
        <v>111</v>
      </c>
      <c r="G54" s="19">
        <v>927.38</v>
      </c>
      <c r="H54" s="8"/>
    </row>
    <row r="55" spans="1:8" x14ac:dyDescent="0.35">
      <c r="A55" s="6" t="s">
        <v>48</v>
      </c>
      <c r="B55" s="7">
        <v>994.52</v>
      </c>
      <c r="C55" s="7"/>
      <c r="D55" s="7">
        <v>994.52</v>
      </c>
      <c r="E55" s="19" t="s">
        <v>78</v>
      </c>
      <c r="F55" s="19" t="s">
        <v>113</v>
      </c>
      <c r="G55" s="19">
        <v>994.52</v>
      </c>
      <c r="H55" s="8"/>
    </row>
    <row r="56" spans="1:8" x14ac:dyDescent="0.35">
      <c r="A56" s="6" t="s">
        <v>49</v>
      </c>
      <c r="B56" s="7">
        <v>23.77</v>
      </c>
      <c r="C56" s="7"/>
      <c r="D56" s="7">
        <v>23.77</v>
      </c>
      <c r="E56" s="19" t="s">
        <v>78</v>
      </c>
      <c r="F56" s="19" t="s">
        <v>116</v>
      </c>
      <c r="G56" s="19">
        <v>23.77</v>
      </c>
      <c r="H56" s="8"/>
    </row>
    <row r="57" spans="1:8" x14ac:dyDescent="0.35">
      <c r="A57" s="6" t="s">
        <v>50</v>
      </c>
      <c r="B57" s="7">
        <v>901.21</v>
      </c>
      <c r="C57" s="7"/>
      <c r="D57" s="7">
        <v>901.21</v>
      </c>
      <c r="E57" s="19" t="s">
        <v>78</v>
      </c>
      <c r="F57" s="19" t="s">
        <v>109</v>
      </c>
      <c r="G57" s="19">
        <v>901.21</v>
      </c>
      <c r="H57" s="8"/>
    </row>
    <row r="58" spans="1:8" x14ac:dyDescent="0.35">
      <c r="A58" s="6" t="s">
        <v>51</v>
      </c>
      <c r="B58" s="7">
        <v>13773.25</v>
      </c>
      <c r="C58" s="7"/>
      <c r="D58" s="7">
        <v>13773.25</v>
      </c>
      <c r="E58" s="19" t="s">
        <v>78</v>
      </c>
      <c r="F58" s="19" t="s">
        <v>117</v>
      </c>
      <c r="G58" s="19">
        <v>13773.25</v>
      </c>
      <c r="H58" s="8"/>
    </row>
    <row r="59" spans="1:8" x14ac:dyDescent="0.35">
      <c r="A59" s="6" t="s">
        <v>52</v>
      </c>
      <c r="B59" s="7">
        <v>1277.5999999999999</v>
      </c>
      <c r="C59" s="7"/>
      <c r="D59" s="7">
        <v>1277.5999999999999</v>
      </c>
      <c r="E59" s="19" t="s">
        <v>78</v>
      </c>
      <c r="F59" s="19" t="s">
        <v>118</v>
      </c>
      <c r="G59" s="19">
        <v>1277.5999999999999</v>
      </c>
      <c r="H59" s="8"/>
    </row>
    <row r="60" spans="1:8" x14ac:dyDescent="0.35">
      <c r="A60" s="6" t="s">
        <v>53</v>
      </c>
      <c r="B60" s="7">
        <v>56.7</v>
      </c>
      <c r="C60" s="7"/>
      <c r="D60" s="7">
        <v>56.7</v>
      </c>
      <c r="E60" s="19" t="s">
        <v>78</v>
      </c>
      <c r="F60" s="19" t="s">
        <v>100</v>
      </c>
      <c r="G60" s="19">
        <v>56.7</v>
      </c>
      <c r="H60" s="8"/>
    </row>
    <row r="61" spans="1:8" x14ac:dyDescent="0.35">
      <c r="A61" s="6" t="s">
        <v>54</v>
      </c>
      <c r="B61" s="7">
        <v>2124</v>
      </c>
      <c r="C61" s="7"/>
      <c r="D61" s="7">
        <v>2124</v>
      </c>
      <c r="E61" s="19" t="s">
        <v>78</v>
      </c>
      <c r="F61" s="19" t="s">
        <v>107</v>
      </c>
      <c r="G61" s="19">
        <v>2124</v>
      </c>
      <c r="H61" s="8"/>
    </row>
    <row r="62" spans="1:8" x14ac:dyDescent="0.35">
      <c r="A62" s="6" t="s">
        <v>55</v>
      </c>
      <c r="B62" s="7">
        <v>410</v>
      </c>
      <c r="C62" s="7"/>
      <c r="D62" s="7">
        <v>410</v>
      </c>
      <c r="E62" s="19" t="s">
        <v>78</v>
      </c>
      <c r="F62" s="19" t="s">
        <v>119</v>
      </c>
      <c r="G62" s="19">
        <v>410</v>
      </c>
      <c r="H62" s="8"/>
    </row>
    <row r="63" spans="1:8" x14ac:dyDescent="0.35">
      <c r="A63" s="6" t="s">
        <v>56</v>
      </c>
      <c r="B63" s="7">
        <v>900</v>
      </c>
      <c r="C63" s="7"/>
      <c r="D63" s="7">
        <v>900</v>
      </c>
      <c r="E63" s="19" t="s">
        <v>78</v>
      </c>
      <c r="F63" s="19" t="s">
        <v>119</v>
      </c>
      <c r="G63" s="19">
        <v>900</v>
      </c>
      <c r="H63" s="8"/>
    </row>
    <row r="64" spans="1:8" x14ac:dyDescent="0.35">
      <c r="A64" s="6" t="s">
        <v>57</v>
      </c>
      <c r="B64" s="7">
        <v>360</v>
      </c>
      <c r="C64" s="7"/>
      <c r="D64" s="7">
        <v>360</v>
      </c>
      <c r="E64" s="19" t="s">
        <v>78</v>
      </c>
      <c r="F64" s="19" t="s">
        <v>119</v>
      </c>
      <c r="G64" s="19">
        <v>360</v>
      </c>
      <c r="H64" s="8"/>
    </row>
    <row r="65" spans="1:8" x14ac:dyDescent="0.35">
      <c r="A65" s="6" t="s">
        <v>58</v>
      </c>
      <c r="B65" s="7">
        <v>377.4</v>
      </c>
      <c r="C65" s="7"/>
      <c r="D65" s="7">
        <v>377.4</v>
      </c>
      <c r="E65" s="19" t="s">
        <v>78</v>
      </c>
      <c r="F65" s="19" t="s">
        <v>120</v>
      </c>
      <c r="G65" s="19">
        <v>377.4</v>
      </c>
      <c r="H65" s="8"/>
    </row>
    <row r="66" spans="1:8" x14ac:dyDescent="0.35">
      <c r="A66" s="6" t="s">
        <v>59</v>
      </c>
      <c r="B66" s="7">
        <v>4.95</v>
      </c>
      <c r="C66" s="7"/>
      <c r="D66" s="7">
        <v>4.95</v>
      </c>
      <c r="E66" s="19" t="s">
        <v>78</v>
      </c>
      <c r="F66" s="19" t="s">
        <v>107</v>
      </c>
      <c r="G66" s="19">
        <v>4.95</v>
      </c>
      <c r="H66" s="8"/>
    </row>
    <row r="67" spans="1:8" x14ac:dyDescent="0.35">
      <c r="A67" s="6" t="s">
        <v>60</v>
      </c>
      <c r="B67" s="7">
        <v>6408.24</v>
      </c>
      <c r="C67" s="7"/>
      <c r="D67" s="7">
        <v>6408.24</v>
      </c>
      <c r="E67" s="19" t="s">
        <v>78</v>
      </c>
      <c r="F67" s="19" t="s">
        <v>121</v>
      </c>
      <c r="G67" s="19">
        <v>6408.24</v>
      </c>
      <c r="H67" s="8"/>
    </row>
    <row r="68" spans="1:8" x14ac:dyDescent="0.35">
      <c r="A68" s="6" t="s">
        <v>61</v>
      </c>
      <c r="B68" s="7">
        <v>11990.52</v>
      </c>
      <c r="C68" s="7"/>
      <c r="D68" s="7">
        <v>11990.52</v>
      </c>
      <c r="E68" s="19" t="s">
        <v>78</v>
      </c>
      <c r="F68" s="19" t="s">
        <v>122</v>
      </c>
      <c r="G68" s="19">
        <v>11990.52</v>
      </c>
      <c r="H68" s="8"/>
    </row>
    <row r="69" spans="1:8" ht="16" thickBot="1" x14ac:dyDescent="0.4">
      <c r="A69" s="6" t="s">
        <v>62</v>
      </c>
      <c r="B69" s="7">
        <v>17415.25</v>
      </c>
      <c r="C69" s="7"/>
      <c r="D69" s="11">
        <v>17415.25</v>
      </c>
      <c r="E69" s="19" t="s">
        <v>78</v>
      </c>
      <c r="F69" s="19" t="s">
        <v>123</v>
      </c>
      <c r="G69" s="19">
        <v>17415.25</v>
      </c>
      <c r="H69" s="19"/>
    </row>
    <row r="70" spans="1:8" x14ac:dyDescent="0.35">
      <c r="A70" s="9" t="s">
        <v>63</v>
      </c>
      <c r="B70" s="10">
        <f>SUBTOTAL(9, B6:B69)</f>
        <v>942063.54</v>
      </c>
      <c r="C70" s="10">
        <f>SUBTOTAL(9, C6:C69)</f>
        <v>942063.54</v>
      </c>
      <c r="D70" s="14">
        <f>SUM(D6:D69)</f>
        <v>1884127.0799999998</v>
      </c>
      <c r="E70" s="19"/>
      <c r="F70" s="19"/>
      <c r="G70" s="18">
        <v>716133.5</v>
      </c>
      <c r="H70" s="18">
        <v>1167993.58</v>
      </c>
    </row>
    <row r="72" spans="1:8" x14ac:dyDescent="0.35">
      <c r="B72" s="1">
        <f>+B70+C70</f>
        <v>1884127.08</v>
      </c>
    </row>
  </sheetData>
  <mergeCells count="4">
    <mergeCell ref="A4:H4"/>
    <mergeCell ref="A1:H1"/>
    <mergeCell ref="A2:H2"/>
    <mergeCell ref="A3:H3"/>
  </mergeCells>
  <printOptions horizontalCentered="1"/>
  <pageMargins left="0.70866141732283472" right="0.70866141732283472" top="0.55118110236220474" bottom="0.35433070866141736" header="0.31496062992125984" footer="0.31496062992125984"/>
  <pageSetup paperSize="5"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Contabilidad Basica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Itmar Castillo</cp:lastModifiedBy>
  <cp:lastPrinted>2019-11-14T20:59:33Z</cp:lastPrinted>
  <dcterms:created xsi:type="dcterms:W3CDTF">2019-11-12T13:54:35Z</dcterms:created>
  <dcterms:modified xsi:type="dcterms:W3CDTF">2026-04-14T08:01:38Z</dcterms:modified>
</cp:coreProperties>
</file>