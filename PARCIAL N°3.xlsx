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cuments\1 Semestre 2026\"/>
    </mc:Choice>
  </mc:AlternateContent>
  <xr:revisionPtr revIDLastSave="0" documentId="8_{E666E810-5359-4788-B059-6ACF7A33EA8D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PARCIAL" sheetId="1" r:id="rId1"/>
    <sheet name="PLANILLA" sheetId="2" r:id="rId2"/>
    <sheet name="ISR" sheetId="3" r:id="rId3"/>
    <sheet name="COMPROBANTE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3" i="2" l="1"/>
  <c r="O11" i="2"/>
  <c r="D21" i="4"/>
  <c r="C21" i="4"/>
  <c r="D22" i="4" s="1"/>
  <c r="D48" i="3"/>
  <c r="A45" i="3"/>
  <c r="D40" i="3"/>
  <c r="A36" i="3"/>
  <c r="D32" i="3"/>
  <c r="A29" i="3"/>
  <c r="D22" i="3"/>
  <c r="A19" i="3"/>
  <c r="C17" i="3"/>
  <c r="D12" i="3"/>
  <c r="E12" i="3" s="1"/>
  <c r="E14" i="3" s="1"/>
  <c r="E15" i="3" s="1"/>
  <c r="E16" i="3" s="1"/>
  <c r="E11" i="3"/>
  <c r="D9" i="3"/>
  <c r="D5" i="3"/>
  <c r="A2" i="3"/>
  <c r="P13" i="2"/>
  <c r="N13" i="2"/>
  <c r="M13" i="2"/>
  <c r="L13" i="2"/>
  <c r="K13" i="2"/>
  <c r="J13" i="2"/>
  <c r="H13" i="2"/>
  <c r="G13" i="2"/>
  <c r="F13" i="2"/>
  <c r="E13" i="2"/>
  <c r="D13" i="2"/>
  <c r="N11" i="2"/>
  <c r="N10" i="2"/>
  <c r="I10" i="2"/>
  <c r="O10" i="2" s="1"/>
  <c r="O9" i="2"/>
  <c r="N9" i="2"/>
  <c r="I9" i="2"/>
  <c r="N8" i="2"/>
  <c r="I8" i="2"/>
  <c r="O8" i="2" s="1"/>
  <c r="N7" i="2"/>
  <c r="I7" i="2"/>
  <c r="O7" i="2" s="1"/>
  <c r="N6" i="2"/>
  <c r="I6" i="2"/>
  <c r="O6" i="2" s="1"/>
  <c r="I13" i="2" l="1"/>
</calcChain>
</file>

<file path=xl/sharedStrings.xml><?xml version="1.0" encoding="utf-8"?>
<sst xmlns="http://schemas.openxmlformats.org/spreadsheetml/2006/main" count="164" uniqueCount="118">
  <si>
    <t>UNIVERSIDAD TECNOLÓGICA DE PANAMÁ</t>
  </si>
  <si>
    <t>FACULTAD DE INGENIERIA INDUSTRIAL</t>
  </si>
  <si>
    <t>DEPARTAMENTO DE CONTABILIDAD Y FINANZAS</t>
  </si>
  <si>
    <t>Parcial   Fecha: 25 de junio de 2026</t>
  </si>
  <si>
    <t>I Parte. Llenar espacios              35 puntos</t>
  </si>
  <si>
    <t>1- La planilla puede ser calculada de las siguientes maneras:</t>
  </si>
  <si>
    <t>Semanalmente,  Quincenalmente,  Mensualmente (por unidad de tiempo),</t>
  </si>
  <si>
    <t>como lo establece el artículo N° 142 del Código de Trabajo.</t>
  </si>
  <si>
    <t xml:space="preserve">2- Retribuciones sobre los cuales el empleado y empleador tienen que pagar cuota a la Caja de Seguro Social </t>
  </si>
  <si>
    <t>Las comisiones,                                          Las vacaciones,</t>
  </si>
  <si>
    <t>Las bonificaciones,                                      Los gastos de representación.</t>
  </si>
  <si>
    <t>4- Pagos que recibe el empleado y los cuales no pagan cuota de seguro social</t>
  </si>
  <si>
    <t>El Decimotercer Mes,                                     El preaviso,</t>
  </si>
  <si>
    <t>La indemnización por terminación de relación laboral,     La prima de antigüedad,</t>
  </si>
  <si>
    <t>Los viáticos,                                            Los dividendos.</t>
  </si>
  <si>
    <t>5- Escriba cuatro pagos que recibe el empleado y es considerado salario en especie</t>
  </si>
  <si>
    <t>Alimentos,                                               Habitación (vivienda),</t>
  </si>
  <si>
    <t>Vestidos (ropa),                                         Suministros para consumo personal inmediato.</t>
  </si>
  <si>
    <t xml:space="preserve">7- Cual es la definición de salario? </t>
  </si>
  <si>
    <t>Salario es la retribución que el empleador debe pagar al trabajador con motivo de la relación de trabajo,</t>
  </si>
  <si>
    <t>y comprende no sólo lo pagado en dinero y especie, sino también las gratificaciones, percepciones,</t>
  </si>
  <si>
    <t>bonificaciones, primas, comisiones, participación en las utilidades y todo ingreso o beneficio</t>
  </si>
  <si>
    <t>que el trabajador reciba por razón del trabajo o como consecuencia de éste. (Art. 140, Código de Trabajo)</t>
  </si>
  <si>
    <t>II Parte Planilla    65 puntos</t>
  </si>
  <si>
    <t>En las siguientes hojas tenemos la información para realizar lo siguiente</t>
  </si>
  <si>
    <t xml:space="preserve">    La planilla de una quincena</t>
  </si>
  <si>
    <t xml:space="preserve">    Calculo del impuesto sobre la renta</t>
  </si>
  <si>
    <t xml:space="preserve">    Realizar descuentos directos</t>
  </si>
  <si>
    <t xml:space="preserve">     Registro contable</t>
  </si>
  <si>
    <t>SOCIEDAD AMIGOS, S.A.</t>
  </si>
  <si>
    <t xml:space="preserve">         PLANILLA CORRESPONDIENTE DEL 1 AL 15 DE ENERO DE 20XX</t>
  </si>
  <si>
    <t xml:space="preserve"> </t>
  </si>
  <si>
    <t>Salario</t>
  </si>
  <si>
    <t>NOMBRE DEL EMPLEADO</t>
  </si>
  <si>
    <t>SALARIO</t>
  </si>
  <si>
    <t>TIEMPO</t>
  </si>
  <si>
    <t xml:space="preserve">AUSENCIA </t>
  </si>
  <si>
    <t>PRIMA DE</t>
  </si>
  <si>
    <t>GASTO</t>
  </si>
  <si>
    <t xml:space="preserve">SALARIO </t>
  </si>
  <si>
    <t>SEGURO</t>
  </si>
  <si>
    <t xml:space="preserve">SEGURO </t>
  </si>
  <si>
    <t>IMPUESTO</t>
  </si>
  <si>
    <t>DESCUENTOS</t>
  </si>
  <si>
    <t>TOTAL DE</t>
  </si>
  <si>
    <t>FIRMA DE</t>
  </si>
  <si>
    <t>X hora</t>
  </si>
  <si>
    <t>QUINCENAL</t>
  </si>
  <si>
    <t>EXTRA</t>
  </si>
  <si>
    <t>Y TARDANZAS</t>
  </si>
  <si>
    <t>PRODUCCIÓN</t>
  </si>
  <si>
    <t>REPRESENT</t>
  </si>
  <si>
    <t>BRUTO</t>
  </si>
  <si>
    <t>SOCIAL</t>
  </si>
  <si>
    <t>EDUCATIVO</t>
  </si>
  <si>
    <t>S/RENTA</t>
  </si>
  <si>
    <t>DIRECTOS</t>
  </si>
  <si>
    <t>NETO</t>
  </si>
  <si>
    <t>RECIBIDO</t>
  </si>
  <si>
    <t>María Rivas</t>
  </si>
  <si>
    <t>Matin Solis</t>
  </si>
  <si>
    <t>Cesar Rios</t>
  </si>
  <si>
    <t>Enrique Rojas</t>
  </si>
  <si>
    <t>Dora Jimenez</t>
  </si>
  <si>
    <t>TOTALES</t>
  </si>
  <si>
    <t>Transacciones</t>
  </si>
  <si>
    <t>Empleado</t>
  </si>
  <si>
    <t>Salario mensual</t>
  </si>
  <si>
    <t>Se le tiene que pagar horas extras por 77.42</t>
  </si>
  <si>
    <t>No gano horas extras, se le descuenta el máximo de préstamos dado por la empresa</t>
  </si>
  <si>
    <t>No gano horas extras, se le descuenta un préstamo hipotecario por la totalidad de capacidad mensual</t>
  </si>
  <si>
    <t>Se le paga horas extras por 35.85</t>
  </si>
  <si>
    <t>Salario anual</t>
  </si>
  <si>
    <t>Se le descuenta tres días por ausencia y descuenta préstamo personal por $300.00 mensual</t>
  </si>
  <si>
    <t>Salario semanal</t>
  </si>
  <si>
    <t>Salario por hora</t>
  </si>
  <si>
    <t>En esta empresa se trabaja 48 horas a la semana</t>
  </si>
  <si>
    <t>Salairo de dos días</t>
  </si>
  <si>
    <t>Esta planilla se pagó por medio de ACH</t>
  </si>
  <si>
    <t>Descuento por quincena</t>
  </si>
  <si>
    <t>EMPLEADO</t>
  </si>
  <si>
    <t>Porcentaje</t>
  </si>
  <si>
    <t>MENOS</t>
  </si>
  <si>
    <t>No pagan</t>
  </si>
  <si>
    <t>SALARIO GRAVADO</t>
  </si>
  <si>
    <t>PORCENTAJE</t>
  </si>
  <si>
    <t>Impuesto anual</t>
  </si>
  <si>
    <t>Impuesto mensual</t>
  </si>
  <si>
    <t>Impuesto quincenal</t>
  </si>
  <si>
    <t>Gasto de representación</t>
  </si>
  <si>
    <t xml:space="preserve">Impuesto </t>
  </si>
  <si>
    <t xml:space="preserve">   Los primeros 25 mil</t>
  </si>
  <si>
    <t xml:space="preserve">   Mas de 25 mil</t>
  </si>
  <si>
    <t xml:space="preserve">  Impuesto mensual</t>
  </si>
  <si>
    <t xml:space="preserve">  Impuestos quincenal</t>
  </si>
  <si>
    <t>COMPAÑÍA ESPECIAL</t>
  </si>
  <si>
    <t>COMPRABANTE DE DIARIO</t>
  </si>
  <si>
    <t>Fecha:__________________</t>
  </si>
  <si>
    <t>C/D___________</t>
  </si>
  <si>
    <t>CUENTA</t>
  </si>
  <si>
    <t>CODIGO</t>
  </si>
  <si>
    <t>DEBITO</t>
  </si>
  <si>
    <t>CREDITO</t>
  </si>
  <si>
    <t>Seguro social</t>
  </si>
  <si>
    <t>Seguro educativo</t>
  </si>
  <si>
    <t>Riesgos profesionales</t>
  </si>
  <si>
    <t>Vacaciones</t>
  </si>
  <si>
    <t>Decimotermes</t>
  </si>
  <si>
    <t>Retenciones legales CSS</t>
  </si>
  <si>
    <t>Descuentos directos a empleados</t>
  </si>
  <si>
    <t>Vacaciones por pagar</t>
  </si>
  <si>
    <t>Decimotermes por pagar</t>
  </si>
  <si>
    <t>Banco</t>
  </si>
  <si>
    <t xml:space="preserve">  Total</t>
  </si>
  <si>
    <r>
      <t xml:space="preserve">3-El Seguro Educativo se paga en los siguientes porcentajes, el empleador </t>
    </r>
    <r>
      <rPr>
        <sz val="12"/>
        <color theme="4"/>
        <rFont val="Arial"/>
        <family val="2"/>
      </rPr>
      <t>1.5%</t>
    </r>
    <r>
      <rPr>
        <sz val="12"/>
        <rFont val="Arial"/>
        <family val="2"/>
        <charset val="1"/>
      </rPr>
      <t xml:space="preserve"> y empleado </t>
    </r>
    <r>
      <rPr>
        <sz val="12"/>
        <color theme="4"/>
        <rFont val="Arial"/>
        <family val="2"/>
      </rPr>
      <t>1.25%.</t>
    </r>
  </si>
  <si>
    <r>
      <t xml:space="preserve">6- La cuota de seguro social la pagan en los siguientes porcentajes, empleado </t>
    </r>
    <r>
      <rPr>
        <sz val="12"/>
        <color theme="4"/>
        <rFont val="Arial"/>
        <family val="2"/>
      </rPr>
      <t>9.75%</t>
    </r>
    <r>
      <rPr>
        <sz val="12"/>
        <rFont val="Arial"/>
        <family val="2"/>
        <charset val="1"/>
      </rPr>
      <t xml:space="preserve"> y empleador </t>
    </r>
    <r>
      <rPr>
        <sz val="12"/>
        <color theme="4"/>
        <rFont val="Arial"/>
        <family val="2"/>
      </rPr>
      <t>12.25%</t>
    </r>
    <r>
      <rPr>
        <sz val="12"/>
        <rFont val="Arial"/>
        <family val="2"/>
        <charset val="1"/>
      </rPr>
      <t>.</t>
    </r>
  </si>
  <si>
    <r>
      <t>Estudiante:</t>
    </r>
    <r>
      <rPr>
        <u/>
        <sz val="12"/>
        <rFont val="Arial"/>
        <family val="2"/>
      </rPr>
      <t xml:space="preserve">_Itmar Castillo </t>
    </r>
    <r>
      <rPr>
        <sz val="12"/>
        <rFont val="Arial"/>
        <family val="2"/>
        <charset val="1"/>
      </rPr>
      <t xml:space="preserve">  Cédula:</t>
    </r>
    <r>
      <rPr>
        <u/>
        <sz val="12"/>
        <rFont val="Arial"/>
        <family val="2"/>
      </rPr>
      <t>_8-1027-180</t>
    </r>
  </si>
  <si>
    <r>
      <t>CÓDIGO DE ASIGNATURA:</t>
    </r>
    <r>
      <rPr>
        <u/>
        <sz val="14"/>
        <rFont val="Arial"/>
        <family val="2"/>
      </rPr>
      <t xml:space="preserve">_1277  </t>
    </r>
    <r>
      <rPr>
        <sz val="14"/>
        <rFont val="Arial"/>
        <family val="2"/>
        <charset val="1"/>
      </rPr>
      <t xml:space="preserve">            Profesor: Alexander Domínguez 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</si>
</sst>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-* #,##0.00_-;\-* #,##0.00_-;_-* \-??_-;_-@_-"/>
  </numFmts>
  <fonts count="14" x14ac:knownFonts="1">
    <font>
      <sz val="11"/>
      <color theme="1"/>
      <name val="Calibri"/>
      <family val="2"/>
      <charset val="1"/>
    </font>
    <font>
      <b/>
      <sz val="18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6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b/>
      <sz val="12"/>
      <name val="Arial"/>
      <family val="2"/>
      <charset val="1"/>
    </font>
    <font>
      <u/>
      <sz val="12"/>
      <name val="Arial"/>
      <family val="2"/>
    </font>
    <font>
      <sz val="12"/>
      <color theme="4"/>
      <name val="Arial"/>
      <family val="2"/>
    </font>
    <font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7" fillId="0" borderId="1" xfId="0" applyFont="1" applyBorder="1"/>
    <xf numFmtId="0" fontId="8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8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2" fontId="0" fillId="0" borderId="12" xfId="0" applyNumberFormat="1" applyBorder="1"/>
    <xf numFmtId="2" fontId="5" fillId="0" borderId="13" xfId="0" applyNumberFormat="1" applyFont="1" applyBorder="1" applyAlignment="1">
      <alignment horizontal="center"/>
    </xf>
    <xf numFmtId="0" fontId="5" fillId="0" borderId="13" xfId="0" applyFont="1" applyBorder="1"/>
    <xf numFmtId="164" fontId="5" fillId="0" borderId="13" xfId="0" applyNumberFormat="1" applyFont="1" applyBorder="1"/>
    <xf numFmtId="164" fontId="5" fillId="0" borderId="3" xfId="0" applyNumberFormat="1" applyFont="1" applyBorder="1"/>
    <xf numFmtId="164" fontId="5" fillId="2" borderId="3" xfId="0" applyNumberFormat="1" applyFont="1" applyFill="1" applyBorder="1"/>
    <xf numFmtId="164" fontId="0" fillId="0" borderId="14" xfId="0" applyNumberFormat="1" applyBorder="1"/>
    <xf numFmtId="164" fontId="5" fillId="2" borderId="13" xfId="0" applyNumberFormat="1" applyFont="1" applyFill="1" applyBorder="1"/>
    <xf numFmtId="164" fontId="5" fillId="0" borderId="10" xfId="0" applyNumberFormat="1" applyFont="1" applyBorder="1"/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0" xfId="0" applyFont="1" applyBorder="1"/>
    <xf numFmtId="164" fontId="5" fillId="2" borderId="10" xfId="0" applyNumberFormat="1" applyFont="1" applyFill="1" applyBorder="1"/>
    <xf numFmtId="164" fontId="0" fillId="0" borderId="11" xfId="0" applyNumberFormat="1" applyBorder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18" xfId="0" applyFont="1" applyBorder="1"/>
    <xf numFmtId="164" fontId="10" fillId="0" borderId="19" xfId="0" applyNumberFormat="1" applyFont="1" applyBorder="1"/>
    <xf numFmtId="164" fontId="10" fillId="2" borderId="19" xfId="0" applyNumberFormat="1" applyFont="1" applyFill="1" applyBorder="1"/>
    <xf numFmtId="164" fontId="10" fillId="0" borderId="20" xfId="0" applyNumberFormat="1" applyFont="1" applyBorder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164" fontId="5" fillId="0" borderId="0" xfId="0" applyNumberFormat="1" applyFont="1"/>
    <xf numFmtId="0" fontId="7" fillId="0" borderId="0" xfId="0" applyFont="1"/>
    <xf numFmtId="9" fontId="0" fillId="0" borderId="0" xfId="0" applyNumberFormat="1"/>
    <xf numFmtId="9" fontId="7" fillId="0" borderId="0" xfId="0" applyNumberFormat="1" applyFont="1"/>
    <xf numFmtId="0" fontId="0" fillId="0" borderId="0" xfId="0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2" fontId="0" fillId="0" borderId="25" xfId="0" applyNumberFormat="1" applyBorder="1"/>
    <xf numFmtId="2" fontId="0" fillId="0" borderId="26" xfId="0" applyNumberFormat="1" applyBorder="1"/>
    <xf numFmtId="0" fontId="0" fillId="0" borderId="27" xfId="0" applyBorder="1"/>
    <xf numFmtId="0" fontId="0" fillId="0" borderId="13" xfId="0" applyBorder="1"/>
    <xf numFmtId="2" fontId="0" fillId="0" borderId="13" xfId="0" applyNumberFormat="1" applyBorder="1"/>
    <xf numFmtId="2" fontId="0" fillId="0" borderId="28" xfId="0" applyNumberFormat="1" applyBorder="1"/>
    <xf numFmtId="0" fontId="0" fillId="0" borderId="29" xfId="0" applyBorder="1"/>
    <xf numFmtId="0" fontId="0" fillId="0" borderId="10" xfId="0" applyBorder="1"/>
    <xf numFmtId="2" fontId="0" fillId="0" borderId="10" xfId="0" applyNumberFormat="1" applyBorder="1"/>
    <xf numFmtId="2" fontId="0" fillId="0" borderId="30" xfId="0" applyNumberFormat="1" applyBorder="1"/>
    <xf numFmtId="0" fontId="0" fillId="0" borderId="31" xfId="0" applyBorder="1"/>
    <xf numFmtId="0" fontId="0" fillId="0" borderId="32" xfId="0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0" xfId="0" applyNumberFormat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PARCIAL_RESUELTO%20(2).xlsx" TargetMode="External"/><Relationship Id="rId1" Type="http://schemas.openxmlformats.org/officeDocument/2006/relationships/externalLinkPath" Target="/Users/Usuario/Downloads/PARCIAL_RESUELTO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CIAL"/>
      <sheetName val="PLANILLA"/>
      <sheetName val="ISR"/>
      <sheetName val="COMPROBANTE"/>
    </sheetNames>
    <sheetDataSet>
      <sheetData sheetId="0" refreshError="1"/>
      <sheetData sheetId="1">
        <row r="6">
          <cell r="C6" t="str">
            <v>María Rivas</v>
          </cell>
        </row>
        <row r="9">
          <cell r="C9" t="str">
            <v>Enrique Rojas</v>
          </cell>
        </row>
        <row r="10">
          <cell r="C10" t="str">
            <v>Dora Jimenez</v>
          </cell>
        </row>
        <row r="19">
          <cell r="C19" t="str">
            <v>Matin Solis</v>
          </cell>
        </row>
        <row r="20">
          <cell r="C20" t="str">
            <v>Cesar Rios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opLeftCell="A7" zoomScale="65" zoomScaleNormal="100" workbookViewId="0">
      <selection activeCell="E30" sqref="E30"/>
    </sheetView>
  </sheetViews>
  <sheetFormatPr baseColWidth="10" defaultColWidth="10.6328125" defaultRowHeight="14.5" x14ac:dyDescent="0.35"/>
  <cols>
    <col min="1" max="1" width="120.54296875" customWidth="1"/>
  </cols>
  <sheetData>
    <row r="1" spans="1:1" ht="22.5" customHeight="1" x14ac:dyDescent="0.35">
      <c r="A1" s="4" t="s">
        <v>0</v>
      </c>
    </row>
    <row r="2" spans="1:1" ht="18.75" customHeight="1" x14ac:dyDescent="0.35">
      <c r="A2" s="5" t="s">
        <v>1</v>
      </c>
    </row>
    <row r="3" spans="1:1" ht="15.75" customHeight="1" x14ac:dyDescent="0.35">
      <c r="A3" s="6" t="s">
        <v>2</v>
      </c>
    </row>
    <row r="5" spans="1:1" ht="18" customHeight="1" x14ac:dyDescent="0.35">
      <c r="A5" s="7" t="s">
        <v>117</v>
      </c>
    </row>
    <row r="6" spans="1:1" ht="18" customHeight="1" x14ac:dyDescent="0.35">
      <c r="A6" s="8" t="s">
        <v>3</v>
      </c>
    </row>
    <row r="8" spans="1:1" ht="15.75" customHeight="1" x14ac:dyDescent="0.35">
      <c r="A8" s="9" t="s">
        <v>116</v>
      </c>
    </row>
    <row r="10" spans="1:1" ht="15.75" customHeight="1" x14ac:dyDescent="0.35">
      <c r="A10" s="9" t="s">
        <v>4</v>
      </c>
    </row>
    <row r="11" spans="1:1" s="11" customFormat="1" ht="15.75" customHeight="1" x14ac:dyDescent="0.35">
      <c r="A11" s="10" t="s">
        <v>5</v>
      </c>
    </row>
    <row r="12" spans="1:1" s="11" customFormat="1" ht="15.75" customHeight="1" x14ac:dyDescent="0.35">
      <c r="A12" s="76" t="s">
        <v>6</v>
      </c>
    </row>
    <row r="13" spans="1:1" s="11" customFormat="1" ht="15.75" customHeight="1" x14ac:dyDescent="0.35">
      <c r="A13" s="76" t="s">
        <v>7</v>
      </c>
    </row>
    <row r="14" spans="1:1" s="11" customFormat="1" ht="15.75" customHeight="1" x14ac:dyDescent="0.35">
      <c r="A14" s="10" t="s">
        <v>8</v>
      </c>
    </row>
    <row r="15" spans="1:1" s="11" customFormat="1" ht="15.75" customHeight="1" x14ac:dyDescent="0.35">
      <c r="A15" s="76" t="s">
        <v>9</v>
      </c>
    </row>
    <row r="16" spans="1:1" s="11" customFormat="1" ht="15.75" customHeight="1" x14ac:dyDescent="0.35">
      <c r="A16" s="76" t="s">
        <v>10</v>
      </c>
    </row>
    <row r="17" spans="1:1" s="11" customFormat="1" ht="15.75" customHeight="1" x14ac:dyDescent="0.35">
      <c r="A17" s="10" t="s">
        <v>114</v>
      </c>
    </row>
    <row r="18" spans="1:1" s="11" customFormat="1" ht="15.75" customHeight="1" x14ac:dyDescent="0.35">
      <c r="A18" s="10"/>
    </row>
    <row r="19" spans="1:1" s="11" customFormat="1" ht="15.75" customHeight="1" x14ac:dyDescent="0.35">
      <c r="A19" s="10" t="s">
        <v>11</v>
      </c>
    </row>
    <row r="20" spans="1:1" s="11" customFormat="1" ht="15.75" customHeight="1" x14ac:dyDescent="0.35">
      <c r="A20" s="76" t="s">
        <v>12</v>
      </c>
    </row>
    <row r="21" spans="1:1" s="11" customFormat="1" ht="15.75" customHeight="1" x14ac:dyDescent="0.35">
      <c r="A21" s="76" t="s">
        <v>13</v>
      </c>
    </row>
    <row r="22" spans="1:1" s="11" customFormat="1" ht="15.75" customHeight="1" x14ac:dyDescent="0.35">
      <c r="A22" s="76" t="s">
        <v>14</v>
      </c>
    </row>
    <row r="23" spans="1:1" s="11" customFormat="1" ht="15.75" customHeight="1" x14ac:dyDescent="0.35">
      <c r="A23" s="10" t="s">
        <v>15</v>
      </c>
    </row>
    <row r="24" spans="1:1" s="11" customFormat="1" ht="15.75" customHeight="1" x14ac:dyDescent="0.35">
      <c r="A24" s="76" t="s">
        <v>16</v>
      </c>
    </row>
    <row r="25" spans="1:1" s="11" customFormat="1" ht="15.75" customHeight="1" x14ac:dyDescent="0.35">
      <c r="A25" s="76" t="s">
        <v>17</v>
      </c>
    </row>
    <row r="26" spans="1:1" s="11" customFormat="1" ht="15.75" customHeight="1" x14ac:dyDescent="0.35">
      <c r="A26" s="10" t="s">
        <v>115</v>
      </c>
    </row>
    <row r="27" spans="1:1" s="11" customFormat="1" ht="15.75" customHeight="1" x14ac:dyDescent="0.35">
      <c r="A27" s="10"/>
    </row>
    <row r="28" spans="1:1" s="11" customFormat="1" ht="15.75" customHeight="1" x14ac:dyDescent="0.35">
      <c r="A28" s="10" t="s">
        <v>18</v>
      </c>
    </row>
    <row r="29" spans="1:1" s="11" customFormat="1" ht="15.75" customHeight="1" x14ac:dyDescent="0.35">
      <c r="A29" s="76" t="s">
        <v>19</v>
      </c>
    </row>
    <row r="30" spans="1:1" s="11" customFormat="1" ht="15.75" customHeight="1" x14ac:dyDescent="0.35">
      <c r="A30" s="76" t="s">
        <v>20</v>
      </c>
    </row>
    <row r="31" spans="1:1" s="11" customFormat="1" ht="15.75" customHeight="1" x14ac:dyDescent="0.35">
      <c r="A31" s="76" t="s">
        <v>21</v>
      </c>
    </row>
    <row r="32" spans="1:1" s="11" customFormat="1" ht="15.75" customHeight="1" x14ac:dyDescent="0.35">
      <c r="A32" s="76" t="s">
        <v>22</v>
      </c>
    </row>
    <row r="33" spans="1:1" ht="15.75" customHeight="1" x14ac:dyDescent="0.35">
      <c r="A33" s="9"/>
    </row>
    <row r="34" spans="1:1" ht="15.75" customHeight="1" x14ac:dyDescent="0.35">
      <c r="A34" s="9"/>
    </row>
    <row r="35" spans="1:1" ht="15.75" customHeight="1" x14ac:dyDescent="0.35">
      <c r="A35" s="9" t="s">
        <v>23</v>
      </c>
    </row>
    <row r="36" spans="1:1" ht="15.75" customHeight="1" x14ac:dyDescent="0.35">
      <c r="A36" s="9" t="s">
        <v>24</v>
      </c>
    </row>
    <row r="37" spans="1:1" ht="15.75" customHeight="1" x14ac:dyDescent="0.35">
      <c r="A37" s="9" t="s">
        <v>25</v>
      </c>
    </row>
    <row r="38" spans="1:1" ht="15.75" customHeight="1" x14ac:dyDescent="0.35">
      <c r="A38" s="9" t="s">
        <v>26</v>
      </c>
    </row>
    <row r="39" spans="1:1" ht="15.75" customHeight="1" x14ac:dyDescent="0.35">
      <c r="A39" s="9" t="s">
        <v>27</v>
      </c>
    </row>
    <row r="40" spans="1:1" ht="15.75" customHeight="1" x14ac:dyDescent="0.35">
      <c r="A40" s="9" t="s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opLeftCell="C8" zoomScale="64" zoomScaleNormal="120" workbookViewId="0">
      <selection activeCell="D10" sqref="D10"/>
    </sheetView>
  </sheetViews>
  <sheetFormatPr baseColWidth="10" defaultColWidth="10.6328125" defaultRowHeight="14.5" x14ac:dyDescent="0.35"/>
  <cols>
    <col min="1" max="1" width="12.54296875" bestFit="1" customWidth="1"/>
    <col min="2" max="2" width="14.1796875" bestFit="1" customWidth="1"/>
    <col min="3" max="3" width="41.7265625" bestFit="1" customWidth="1"/>
    <col min="4" max="4" width="10.81640625" bestFit="1" customWidth="1"/>
    <col min="5" max="5" width="9.81640625" customWidth="1"/>
    <col min="7" max="7" width="10.90625" bestFit="1" customWidth="1"/>
    <col min="8" max="8" width="10" bestFit="1" customWidth="1"/>
    <col min="9" max="9" width="10.81640625" bestFit="1" customWidth="1"/>
    <col min="13" max="13" width="13" customWidth="1"/>
    <col min="14" max="14" width="26.6328125" bestFit="1" customWidth="1"/>
    <col min="15" max="15" width="10.90625" bestFit="1" customWidth="1"/>
  </cols>
  <sheetData>
    <row r="1" spans="1:17" ht="20.25" customHeight="1" x14ac:dyDescent="0.4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8" customHeight="1" x14ac:dyDescent="0.3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18.75" customHeight="1" x14ac:dyDescent="0.35">
      <c r="A3" s="7" t="s">
        <v>31</v>
      </c>
      <c r="B3" s="7"/>
      <c r="C3" s="7" t="s">
        <v>31</v>
      </c>
      <c r="D3" s="7"/>
      <c r="E3" s="7"/>
      <c r="F3" s="7"/>
      <c r="G3" s="7"/>
      <c r="H3" s="7"/>
      <c r="I3" s="7" t="s">
        <v>31</v>
      </c>
      <c r="J3" t="s">
        <v>31</v>
      </c>
      <c r="O3" s="11"/>
    </row>
    <row r="4" spans="1:17" ht="15.75" customHeight="1" x14ac:dyDescent="0.35">
      <c r="A4" s="12"/>
      <c r="B4" s="13" t="s">
        <v>32</v>
      </c>
      <c r="C4" s="14" t="s">
        <v>33</v>
      </c>
      <c r="D4" s="15" t="s">
        <v>34</v>
      </c>
      <c r="E4" s="16" t="s">
        <v>35</v>
      </c>
      <c r="F4" s="16" t="s">
        <v>36</v>
      </c>
      <c r="G4" s="16" t="s">
        <v>37</v>
      </c>
      <c r="H4" s="16" t="s">
        <v>38</v>
      </c>
      <c r="I4" s="15" t="s">
        <v>39</v>
      </c>
      <c r="J4" s="15" t="s">
        <v>40</v>
      </c>
      <c r="K4" s="15" t="s">
        <v>41</v>
      </c>
      <c r="L4" s="17" t="s">
        <v>42</v>
      </c>
      <c r="M4" s="17" t="s">
        <v>43</v>
      </c>
      <c r="N4" s="17" t="s">
        <v>44</v>
      </c>
      <c r="O4" s="15" t="s">
        <v>34</v>
      </c>
      <c r="P4" s="18" t="s">
        <v>45</v>
      </c>
    </row>
    <row r="5" spans="1:17" ht="15.75" customHeight="1" x14ac:dyDescent="0.35">
      <c r="A5" s="19"/>
      <c r="B5" s="20" t="s">
        <v>46</v>
      </c>
      <c r="C5" s="21"/>
      <c r="D5" s="22" t="s">
        <v>47</v>
      </c>
      <c r="E5" s="23" t="s">
        <v>48</v>
      </c>
      <c r="F5" s="23" t="s">
        <v>49</v>
      </c>
      <c r="G5" s="23" t="s">
        <v>50</v>
      </c>
      <c r="H5" s="23" t="s">
        <v>51</v>
      </c>
      <c r="I5" s="24" t="s">
        <v>52</v>
      </c>
      <c r="J5" s="22" t="s">
        <v>53</v>
      </c>
      <c r="K5" s="22" t="s">
        <v>54</v>
      </c>
      <c r="L5" s="25" t="s">
        <v>55</v>
      </c>
      <c r="M5" s="25" t="s">
        <v>56</v>
      </c>
      <c r="N5" s="25" t="s">
        <v>43</v>
      </c>
      <c r="O5" s="22" t="s">
        <v>57</v>
      </c>
      <c r="P5" s="26" t="s">
        <v>58</v>
      </c>
    </row>
    <row r="6" spans="1:17" ht="16.5" customHeight="1" x14ac:dyDescent="0.35">
      <c r="A6" s="27"/>
      <c r="B6" s="28">
        <v>7.9350961538</v>
      </c>
      <c r="C6" s="29" t="s">
        <v>59</v>
      </c>
      <c r="D6" s="30">
        <v>825.25</v>
      </c>
      <c r="E6" s="31">
        <v>77.42</v>
      </c>
      <c r="F6" s="31"/>
      <c r="G6" s="31"/>
      <c r="H6" s="31"/>
      <c r="I6" s="30">
        <f>SUM(D6:H6)</f>
        <v>902.67</v>
      </c>
      <c r="J6" s="30">
        <v>88.010300000000001</v>
      </c>
      <c r="K6" s="30">
        <v>11.2834</v>
      </c>
      <c r="L6" s="30">
        <v>71.938999999999993</v>
      </c>
      <c r="M6" s="30"/>
      <c r="N6" s="30">
        <f>J6+K6+L6+M6</f>
        <v>171.23269999999999</v>
      </c>
      <c r="O6" s="32">
        <f t="shared" ref="O6:O11" si="0">I6-N6</f>
        <v>731.43729999999994</v>
      </c>
      <c r="P6" s="33"/>
    </row>
    <row r="7" spans="1:17" ht="15.75" customHeight="1" x14ac:dyDescent="0.35">
      <c r="A7" s="27"/>
      <c r="B7" s="28">
        <v>5.7692307692</v>
      </c>
      <c r="C7" s="29" t="s">
        <v>60</v>
      </c>
      <c r="D7" s="30">
        <v>600</v>
      </c>
      <c r="E7" s="30"/>
      <c r="F7" s="30"/>
      <c r="G7" s="30"/>
      <c r="H7" s="30"/>
      <c r="I7" s="30">
        <f>SUM(D7:H7)</f>
        <v>600</v>
      </c>
      <c r="J7" s="30">
        <v>58.5</v>
      </c>
      <c r="K7" s="30">
        <v>7.5</v>
      </c>
      <c r="L7" s="30">
        <v>26.538499999999999</v>
      </c>
      <c r="M7" s="30">
        <v>90</v>
      </c>
      <c r="N7" s="30">
        <f>J7+K7+L7+M7</f>
        <v>182.5385</v>
      </c>
      <c r="O7" s="34">
        <f t="shared" si="0"/>
        <v>417.4615</v>
      </c>
      <c r="P7" s="33"/>
    </row>
    <row r="8" spans="1:17" ht="15.75" customHeight="1" x14ac:dyDescent="0.35">
      <c r="A8" s="27"/>
      <c r="B8" s="28">
        <v>3.3653846154</v>
      </c>
      <c r="C8" s="29" t="s">
        <v>61</v>
      </c>
      <c r="D8" s="30">
        <v>350</v>
      </c>
      <c r="E8" s="30"/>
      <c r="F8" s="30"/>
      <c r="G8" s="30"/>
      <c r="H8" s="30"/>
      <c r="I8" s="30">
        <f>SUM(D8:H8)</f>
        <v>350</v>
      </c>
      <c r="J8" s="30">
        <v>34.125</v>
      </c>
      <c r="K8" s="30">
        <v>4.375</v>
      </c>
      <c r="L8" s="30">
        <v>0</v>
      </c>
      <c r="M8" s="30">
        <v>105</v>
      </c>
      <c r="N8" s="30">
        <f>J8+K8+L8+M8</f>
        <v>143.5</v>
      </c>
      <c r="O8" s="34">
        <f t="shared" si="0"/>
        <v>206.5</v>
      </c>
      <c r="P8" s="33"/>
    </row>
    <row r="9" spans="1:17" ht="15.75" customHeight="1" x14ac:dyDescent="0.35">
      <c r="A9" s="27"/>
      <c r="B9" s="28">
        <v>8.5841346154</v>
      </c>
      <c r="C9" s="29" t="s">
        <v>62</v>
      </c>
      <c r="D9" s="30">
        <v>892.75</v>
      </c>
      <c r="E9" s="35">
        <v>35.85</v>
      </c>
      <c r="F9" s="35"/>
      <c r="G9" s="35"/>
      <c r="H9" s="35"/>
      <c r="I9" s="30">
        <f>SUM(D9:H9)</f>
        <v>928.6</v>
      </c>
      <c r="J9" s="30">
        <v>90.538499999999999</v>
      </c>
      <c r="K9" s="30">
        <v>11.6075</v>
      </c>
      <c r="L9" s="30">
        <v>75.828500000000005</v>
      </c>
      <c r="M9" s="30"/>
      <c r="N9" s="30">
        <f>J9+K9+L9+M9</f>
        <v>177.97450000000001</v>
      </c>
      <c r="O9" s="34">
        <f t="shared" si="0"/>
        <v>750.62549999999999</v>
      </c>
      <c r="P9" s="33"/>
    </row>
    <row r="10" spans="1:17" ht="15.75" customHeight="1" x14ac:dyDescent="0.35">
      <c r="A10" s="27"/>
      <c r="B10" s="36">
        <v>9.6153846154</v>
      </c>
      <c r="C10" s="29" t="s">
        <v>63</v>
      </c>
      <c r="D10" s="30">
        <v>1000</v>
      </c>
      <c r="E10" s="35"/>
      <c r="F10" s="35">
        <v>-230.76920000000001</v>
      </c>
      <c r="G10" s="35"/>
      <c r="H10" s="35"/>
      <c r="I10" s="30">
        <f>SUM(D10:H10)</f>
        <v>769.23080000000004</v>
      </c>
      <c r="J10" s="30">
        <v>75</v>
      </c>
      <c r="K10" s="30">
        <v>9.6153999999999993</v>
      </c>
      <c r="L10" s="30">
        <v>51.923099999999998</v>
      </c>
      <c r="M10" s="30">
        <v>150</v>
      </c>
      <c r="N10" s="30">
        <f>J10+K10+L10+M10</f>
        <v>286.5385</v>
      </c>
      <c r="O10" s="34">
        <f t="shared" si="0"/>
        <v>482.69230000000005</v>
      </c>
      <c r="P10" s="33"/>
    </row>
    <row r="11" spans="1:17" ht="15.75" customHeight="1" x14ac:dyDescent="0.35">
      <c r="A11" s="37"/>
      <c r="B11" s="38"/>
      <c r="C11" s="39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>
        <f>J11+K11+L11</f>
        <v>0</v>
      </c>
      <c r="O11" s="40">
        <f t="shared" si="0"/>
        <v>0</v>
      </c>
      <c r="P11" s="33"/>
    </row>
    <row r="12" spans="1:17" ht="16.5" customHeight="1" x14ac:dyDescent="0.35">
      <c r="A12" s="37"/>
      <c r="B12" s="38"/>
      <c r="C12" s="39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40"/>
      <c r="P12" s="41"/>
    </row>
    <row r="13" spans="1:17" ht="17.25" customHeight="1" x14ac:dyDescent="0.35">
      <c r="A13" s="42" t="s">
        <v>31</v>
      </c>
      <c r="B13" s="43"/>
      <c r="C13" s="44" t="s">
        <v>64</v>
      </c>
      <c r="D13" s="45">
        <f t="shared" ref="D13:P13" si="1">SUM(D6:D12)</f>
        <v>3668</v>
      </c>
      <c r="E13" s="45">
        <f t="shared" si="1"/>
        <v>113.27000000000001</v>
      </c>
      <c r="F13" s="45">
        <f t="shared" si="1"/>
        <v>-230.76920000000001</v>
      </c>
      <c r="G13" s="45">
        <f t="shared" si="1"/>
        <v>0</v>
      </c>
      <c r="H13" s="45">
        <f t="shared" si="1"/>
        <v>0</v>
      </c>
      <c r="I13" s="45">
        <f t="shared" si="1"/>
        <v>3550.5007999999998</v>
      </c>
      <c r="J13" s="45">
        <f t="shared" si="1"/>
        <v>346.17380000000003</v>
      </c>
      <c r="K13" s="45">
        <f t="shared" si="1"/>
        <v>44.381300000000003</v>
      </c>
      <c r="L13" s="45">
        <f t="shared" si="1"/>
        <v>226.22909999999999</v>
      </c>
      <c r="M13" s="45">
        <f t="shared" si="1"/>
        <v>345</v>
      </c>
      <c r="N13" s="45">
        <f t="shared" si="1"/>
        <v>961.78420000000006</v>
      </c>
      <c r="O13" s="46">
        <f>SUM(O6:O12)</f>
        <v>2588.7166000000002</v>
      </c>
      <c r="P13" s="47">
        <f t="shared" si="1"/>
        <v>0</v>
      </c>
    </row>
    <row r="14" spans="1:17" ht="15.75" customHeight="1" x14ac:dyDescent="0.35">
      <c r="O14" s="11"/>
    </row>
    <row r="15" spans="1:17" x14ac:dyDescent="0.35">
      <c r="I15" s="48"/>
      <c r="J15" s="49"/>
      <c r="K15" s="49"/>
      <c r="O15" s="11"/>
    </row>
    <row r="16" spans="1:17" x14ac:dyDescent="0.35">
      <c r="A16" t="s">
        <v>65</v>
      </c>
      <c r="J16" s="49"/>
      <c r="K16" s="49"/>
      <c r="O16" s="11"/>
    </row>
    <row r="17" spans="3:16" x14ac:dyDescent="0.35">
      <c r="C17" t="s">
        <v>66</v>
      </c>
      <c r="D17" t="s">
        <v>67</v>
      </c>
      <c r="O17" s="11"/>
    </row>
    <row r="18" spans="3:16" x14ac:dyDescent="0.35">
      <c r="C18" t="s">
        <v>59</v>
      </c>
      <c r="D18" s="49">
        <v>1650.5</v>
      </c>
      <c r="E18" t="s">
        <v>68</v>
      </c>
    </row>
    <row r="19" spans="3:16" x14ac:dyDescent="0.35">
      <c r="C19" t="s">
        <v>60</v>
      </c>
      <c r="D19" s="49">
        <v>1200</v>
      </c>
      <c r="E19" t="s">
        <v>69</v>
      </c>
    </row>
    <row r="20" spans="3:16" x14ac:dyDescent="0.35">
      <c r="C20" t="s">
        <v>61</v>
      </c>
      <c r="D20" s="49">
        <v>700</v>
      </c>
      <c r="E20" t="s">
        <v>70</v>
      </c>
      <c r="O20" s="50"/>
      <c r="P20" s="50"/>
    </row>
    <row r="21" spans="3:16" x14ac:dyDescent="0.35">
      <c r="C21" t="s">
        <v>62</v>
      </c>
      <c r="D21" s="49">
        <v>1785.5</v>
      </c>
      <c r="E21" t="s">
        <v>71</v>
      </c>
      <c r="N21" t="s">
        <v>72</v>
      </c>
      <c r="O21">
        <v>19806</v>
      </c>
      <c r="P21" s="11"/>
    </row>
    <row r="22" spans="3:16" ht="15.75" customHeight="1" x14ac:dyDescent="0.35">
      <c r="C22" t="s">
        <v>63</v>
      </c>
      <c r="D22" s="49">
        <v>2000</v>
      </c>
      <c r="E22" t="s">
        <v>73</v>
      </c>
      <c r="N22" s="51" t="s">
        <v>74</v>
      </c>
      <c r="O22" s="51">
        <v>380.88459999999998</v>
      </c>
      <c r="P22" s="11"/>
    </row>
    <row r="23" spans="3:16" ht="15.75" customHeight="1" x14ac:dyDescent="0.35">
      <c r="N23" s="51" t="s">
        <v>75</v>
      </c>
      <c r="O23" s="51">
        <v>7.9350961499999997</v>
      </c>
      <c r="P23" s="11"/>
    </row>
    <row r="24" spans="3:16" ht="15.75" customHeight="1" x14ac:dyDescent="0.35">
      <c r="C24" t="s">
        <v>76</v>
      </c>
      <c r="N24" s="51" t="s">
        <v>77</v>
      </c>
      <c r="O24" s="51">
        <v>126.9615</v>
      </c>
      <c r="P24" s="11"/>
    </row>
    <row r="25" spans="3:16" ht="15.75" customHeight="1" x14ac:dyDescent="0.35">
      <c r="N25" s="51"/>
      <c r="O25" s="51"/>
      <c r="P25" s="11"/>
    </row>
    <row r="26" spans="3:16" ht="15.75" customHeight="1" x14ac:dyDescent="0.35">
      <c r="C26" t="s">
        <v>78</v>
      </c>
      <c r="N26" s="51"/>
      <c r="O26" s="51"/>
      <c r="P26" s="11"/>
    </row>
    <row r="27" spans="3:16" ht="15.75" customHeight="1" x14ac:dyDescent="0.35">
      <c r="F27" s="49"/>
      <c r="G27" s="49"/>
      <c r="H27" s="49"/>
      <c r="N27" s="51" t="s">
        <v>79</v>
      </c>
      <c r="O27" s="51">
        <v>31.740400000000001</v>
      </c>
      <c r="P27" s="11"/>
    </row>
    <row r="28" spans="3:16" x14ac:dyDescent="0.35">
      <c r="F28" s="49"/>
      <c r="G28" s="49"/>
      <c r="H28" s="49"/>
      <c r="O28" s="11"/>
    </row>
  </sheetData>
  <mergeCells count="2">
    <mergeCell ref="A1:Q1"/>
    <mergeCell ref="A2:P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abSelected="1" topLeftCell="A26" zoomScale="91" zoomScaleNormal="130" workbookViewId="0">
      <selection activeCell="I60" sqref="I60"/>
    </sheetView>
  </sheetViews>
  <sheetFormatPr baseColWidth="10" defaultColWidth="10.6328125" defaultRowHeight="14.5" x14ac:dyDescent="0.35"/>
  <cols>
    <col min="1" max="2" width="21.54296875" customWidth="1"/>
    <col min="257" max="258" width="21.54296875" customWidth="1"/>
    <col min="513" max="514" width="21.54296875" customWidth="1"/>
    <col min="769" max="770" width="21.54296875" customWidth="1"/>
    <col min="1025" max="1026" width="21.54296875" customWidth="1"/>
    <col min="1281" max="1282" width="21.54296875" customWidth="1"/>
    <col min="1537" max="1538" width="21.54296875" customWidth="1"/>
    <col min="1793" max="1794" width="21.54296875" customWidth="1"/>
    <col min="2049" max="2050" width="21.54296875" customWidth="1"/>
    <col min="2305" max="2306" width="21.54296875" customWidth="1"/>
    <col min="2561" max="2562" width="21.54296875" customWidth="1"/>
    <col min="2817" max="2818" width="21.54296875" customWidth="1"/>
    <col min="3073" max="3074" width="21.54296875" customWidth="1"/>
    <col min="3329" max="3330" width="21.54296875" customWidth="1"/>
    <col min="3585" max="3586" width="21.54296875" customWidth="1"/>
    <col min="3841" max="3842" width="21.54296875" customWidth="1"/>
    <col min="4097" max="4098" width="21.54296875" customWidth="1"/>
    <col min="4353" max="4354" width="21.54296875" customWidth="1"/>
    <col min="4609" max="4610" width="21.54296875" customWidth="1"/>
    <col min="4865" max="4866" width="21.54296875" customWidth="1"/>
    <col min="5121" max="5122" width="21.54296875" customWidth="1"/>
    <col min="5377" max="5378" width="21.54296875" customWidth="1"/>
    <col min="5633" max="5634" width="21.54296875" customWidth="1"/>
    <col min="5889" max="5890" width="21.54296875" customWidth="1"/>
    <col min="6145" max="6146" width="21.54296875" customWidth="1"/>
    <col min="6401" max="6402" width="21.54296875" customWidth="1"/>
    <col min="6657" max="6658" width="21.54296875" customWidth="1"/>
    <col min="6913" max="6914" width="21.54296875" customWidth="1"/>
    <col min="7169" max="7170" width="21.54296875" customWidth="1"/>
    <col min="7425" max="7426" width="21.54296875" customWidth="1"/>
    <col min="7681" max="7682" width="21.54296875" customWidth="1"/>
    <col min="7937" max="7938" width="21.54296875" customWidth="1"/>
    <col min="8193" max="8194" width="21.54296875" customWidth="1"/>
    <col min="8449" max="8450" width="21.54296875" customWidth="1"/>
    <col min="8705" max="8706" width="21.54296875" customWidth="1"/>
    <col min="8961" max="8962" width="21.54296875" customWidth="1"/>
    <col min="9217" max="9218" width="21.54296875" customWidth="1"/>
    <col min="9473" max="9474" width="21.54296875" customWidth="1"/>
    <col min="9729" max="9730" width="21.54296875" customWidth="1"/>
    <col min="9985" max="9986" width="21.54296875" customWidth="1"/>
    <col min="10241" max="10242" width="21.54296875" customWidth="1"/>
    <col min="10497" max="10498" width="21.54296875" customWidth="1"/>
    <col min="10753" max="10754" width="21.54296875" customWidth="1"/>
    <col min="11009" max="11010" width="21.54296875" customWidth="1"/>
    <col min="11265" max="11266" width="21.54296875" customWidth="1"/>
    <col min="11521" max="11522" width="21.54296875" customWidth="1"/>
    <col min="11777" max="11778" width="21.54296875" customWidth="1"/>
    <col min="12033" max="12034" width="21.54296875" customWidth="1"/>
    <col min="12289" max="12290" width="21.54296875" customWidth="1"/>
    <col min="12545" max="12546" width="21.54296875" customWidth="1"/>
    <col min="12801" max="12802" width="21.54296875" customWidth="1"/>
    <col min="13057" max="13058" width="21.54296875" customWidth="1"/>
    <col min="13313" max="13314" width="21.54296875" customWidth="1"/>
    <col min="13569" max="13570" width="21.54296875" customWidth="1"/>
    <col min="13825" max="13826" width="21.54296875" customWidth="1"/>
    <col min="14081" max="14082" width="21.54296875" customWidth="1"/>
    <col min="14337" max="14338" width="21.54296875" customWidth="1"/>
    <col min="14593" max="14594" width="21.54296875" customWidth="1"/>
    <col min="14849" max="14850" width="21.54296875" customWidth="1"/>
    <col min="15105" max="15106" width="21.54296875" customWidth="1"/>
    <col min="15361" max="15362" width="21.54296875" customWidth="1"/>
    <col min="15617" max="15618" width="21.54296875" customWidth="1"/>
    <col min="15873" max="15874" width="21.54296875" customWidth="1"/>
    <col min="16129" max="16130" width="21.54296875" customWidth="1"/>
  </cols>
  <sheetData>
    <row r="1" spans="1:7" x14ac:dyDescent="0.35">
      <c r="A1" s="52" t="s">
        <v>80</v>
      </c>
      <c r="B1" s="52"/>
    </row>
    <row r="2" spans="1:7" ht="14.25" customHeight="1" x14ac:dyDescent="0.35">
      <c r="A2" t="str">
        <f>+[1]PLANILLA!C6</f>
        <v>María Rivas</v>
      </c>
      <c r="B2" s="52" t="s">
        <v>81</v>
      </c>
    </row>
    <row r="3" spans="1:7" x14ac:dyDescent="0.35">
      <c r="A3" s="52" t="s">
        <v>34</v>
      </c>
      <c r="B3" s="52"/>
      <c r="C3" s="49"/>
      <c r="D3" s="49">
        <v>1805.34</v>
      </c>
      <c r="E3" s="49"/>
      <c r="F3" s="50"/>
      <c r="G3" s="50"/>
    </row>
    <row r="4" spans="1:7" x14ac:dyDescent="0.35">
      <c r="A4" s="52" t="s">
        <v>82</v>
      </c>
      <c r="B4" s="52"/>
      <c r="C4" s="49"/>
      <c r="D4" s="49">
        <v>-11000</v>
      </c>
      <c r="E4" s="49" t="s">
        <v>83</v>
      </c>
    </row>
    <row r="5" spans="1:7" x14ac:dyDescent="0.35">
      <c r="A5" s="52" t="s">
        <v>84</v>
      </c>
      <c r="B5" s="52"/>
      <c r="C5" s="49"/>
      <c r="D5" s="49">
        <f>SUM(D3:D4)</f>
        <v>-9194.66</v>
      </c>
      <c r="E5" s="49"/>
    </row>
    <row r="6" spans="1:7" ht="14.25" customHeight="1" x14ac:dyDescent="0.35">
      <c r="A6" s="52" t="s">
        <v>85</v>
      </c>
      <c r="B6" s="53">
        <v>0.15</v>
      </c>
      <c r="C6" s="49"/>
      <c r="D6" s="49"/>
      <c r="E6" s="49">
        <v>1870.413</v>
      </c>
      <c r="F6" t="s">
        <v>86</v>
      </c>
    </row>
    <row r="7" spans="1:7" x14ac:dyDescent="0.35">
      <c r="C7" s="49"/>
      <c r="D7" s="49"/>
      <c r="E7" s="49">
        <v>143.87792307999999</v>
      </c>
      <c r="F7" t="s">
        <v>87</v>
      </c>
    </row>
    <row r="8" spans="1:7" x14ac:dyDescent="0.35">
      <c r="C8" s="49"/>
      <c r="D8" s="49"/>
      <c r="E8" s="49">
        <v>71.938961539999994</v>
      </c>
      <c r="F8" t="s">
        <v>88</v>
      </c>
    </row>
    <row r="9" spans="1:7" ht="14.25" hidden="1" customHeight="1" x14ac:dyDescent="0.35">
      <c r="A9" s="52" t="s">
        <v>89</v>
      </c>
      <c r="B9" s="52"/>
      <c r="C9" s="49">
        <v>2400</v>
      </c>
      <c r="D9" s="49">
        <f>+C9*13</f>
        <v>31200</v>
      </c>
      <c r="E9" s="49"/>
    </row>
    <row r="10" spans="1:7" hidden="1" x14ac:dyDescent="0.35">
      <c r="A10" s="52" t="s">
        <v>90</v>
      </c>
      <c r="B10" s="52"/>
      <c r="C10" s="49"/>
      <c r="D10" s="49"/>
      <c r="E10" s="49"/>
    </row>
    <row r="11" spans="1:7" hidden="1" x14ac:dyDescent="0.35">
      <c r="A11" s="52" t="s">
        <v>91</v>
      </c>
      <c r="B11" s="54">
        <v>0.1</v>
      </c>
      <c r="C11" s="49"/>
      <c r="D11" s="49">
        <v>25000</v>
      </c>
      <c r="E11" s="49">
        <f>+D11*B11</f>
        <v>2500</v>
      </c>
    </row>
    <row r="12" spans="1:7" hidden="1" x14ac:dyDescent="0.35">
      <c r="A12" s="52" t="s">
        <v>92</v>
      </c>
      <c r="B12" s="54">
        <v>0.15</v>
      </c>
      <c r="C12" s="49"/>
      <c r="D12" s="49">
        <f>+D9-D11</f>
        <v>6200</v>
      </c>
      <c r="E12" s="49">
        <f>+D12*B12</f>
        <v>930</v>
      </c>
    </row>
    <row r="13" spans="1:7" hidden="1" x14ac:dyDescent="0.35">
      <c r="C13" s="49"/>
      <c r="D13" s="49"/>
      <c r="E13" s="49"/>
    </row>
    <row r="14" spans="1:7" hidden="1" x14ac:dyDescent="0.35">
      <c r="A14" s="52" t="s">
        <v>86</v>
      </c>
      <c r="C14" s="49"/>
      <c r="D14" s="49"/>
      <c r="E14" s="49">
        <f>SUM(E6:E13)</f>
        <v>5516.2298846200001</v>
      </c>
    </row>
    <row r="15" spans="1:7" hidden="1" x14ac:dyDescent="0.35">
      <c r="A15" s="52" t="s">
        <v>93</v>
      </c>
      <c r="C15" s="49"/>
      <c r="D15" s="49"/>
      <c r="E15" s="49">
        <f>+E14/13</f>
        <v>424.32537574000003</v>
      </c>
    </row>
    <row r="16" spans="1:7" hidden="1" x14ac:dyDescent="0.35">
      <c r="A16" s="52" t="s">
        <v>94</v>
      </c>
      <c r="C16" s="49"/>
      <c r="D16" s="49"/>
      <c r="E16" s="49">
        <f>+E15/2</f>
        <v>212.16268787000001</v>
      </c>
    </row>
    <row r="17" spans="1:7" hidden="1" x14ac:dyDescent="0.35">
      <c r="C17" s="49">
        <f>SUM(C3:C16)</f>
        <v>2400</v>
      </c>
      <c r="D17" s="49"/>
      <c r="E17" s="49"/>
    </row>
    <row r="18" spans="1:7" x14ac:dyDescent="0.35">
      <c r="C18" s="49"/>
      <c r="D18" s="49"/>
      <c r="E18" s="49"/>
    </row>
    <row r="19" spans="1:7" ht="15.75" customHeight="1" x14ac:dyDescent="0.35">
      <c r="A19" s="29" t="str">
        <f>+[1]PLANILLA!C19</f>
        <v>Matin Solis</v>
      </c>
    </row>
    <row r="20" spans="1:7" s="11" customFormat="1" x14ac:dyDescent="0.35">
      <c r="A20" s="52" t="s">
        <v>34</v>
      </c>
      <c r="B20" s="52" t="s">
        <v>81</v>
      </c>
      <c r="C20" s="49"/>
      <c r="D20" s="11">
        <v>1200</v>
      </c>
    </row>
    <row r="21" spans="1:7" x14ac:dyDescent="0.35">
      <c r="A21" s="52" t="s">
        <v>82</v>
      </c>
      <c r="B21" s="52"/>
      <c r="C21" s="49"/>
      <c r="D21" s="49">
        <v>-11000</v>
      </c>
      <c r="E21" s="49"/>
      <c r="F21" s="50"/>
      <c r="G21" s="50"/>
    </row>
    <row r="22" spans="1:7" x14ac:dyDescent="0.35">
      <c r="A22" s="52" t="s">
        <v>84</v>
      </c>
      <c r="B22" s="52"/>
      <c r="C22" s="49"/>
      <c r="D22" s="49">
        <f>+D20+D21</f>
        <v>-9800</v>
      </c>
      <c r="E22" s="49"/>
    </row>
    <row r="23" spans="1:7" x14ac:dyDescent="0.35">
      <c r="A23" s="52" t="s">
        <v>85</v>
      </c>
      <c r="B23" s="53">
        <v>0.15</v>
      </c>
      <c r="C23" s="49"/>
      <c r="D23" s="49"/>
      <c r="E23" s="49">
        <v>690</v>
      </c>
      <c r="F23" t="s">
        <v>86</v>
      </c>
    </row>
    <row r="24" spans="1:7" x14ac:dyDescent="0.35">
      <c r="C24" s="49"/>
      <c r="D24" s="49"/>
      <c r="E24" s="49">
        <v>53.07692308</v>
      </c>
      <c r="F24" t="s">
        <v>87</v>
      </c>
    </row>
    <row r="25" spans="1:7" ht="14.25" customHeight="1" x14ac:dyDescent="0.35">
      <c r="C25" s="49"/>
      <c r="D25" s="49"/>
      <c r="E25" s="49">
        <v>26.53846154</v>
      </c>
      <c r="F25" t="s">
        <v>88</v>
      </c>
    </row>
    <row r="26" spans="1:7" ht="14.25" customHeight="1" x14ac:dyDescent="0.35">
      <c r="C26" s="49"/>
    </row>
    <row r="29" spans="1:7" x14ac:dyDescent="0.35">
      <c r="A29" t="str">
        <f>+[1]PLANILLA!C20</f>
        <v>Cesar Rios</v>
      </c>
      <c r="B29" s="52" t="s">
        <v>81</v>
      </c>
    </row>
    <row r="30" spans="1:7" x14ac:dyDescent="0.35">
      <c r="A30" s="52" t="s">
        <v>34</v>
      </c>
      <c r="B30" s="52"/>
      <c r="C30" s="49"/>
      <c r="D30" s="49">
        <v>700</v>
      </c>
      <c r="E30" s="49"/>
      <c r="F30" s="50"/>
      <c r="G30" s="50"/>
    </row>
    <row r="31" spans="1:7" x14ac:dyDescent="0.35">
      <c r="A31" s="52" t="s">
        <v>82</v>
      </c>
      <c r="B31" s="52"/>
      <c r="C31" s="49"/>
      <c r="D31" s="49">
        <v>-11000</v>
      </c>
      <c r="E31" s="49"/>
    </row>
    <row r="32" spans="1:7" x14ac:dyDescent="0.35">
      <c r="A32" s="52" t="s">
        <v>84</v>
      </c>
      <c r="B32" s="52"/>
      <c r="C32" s="49"/>
      <c r="D32" s="49">
        <f>SUM(D30:D31)</f>
        <v>-10300</v>
      </c>
      <c r="E32" s="49"/>
    </row>
    <row r="33" spans="1:7" x14ac:dyDescent="0.35">
      <c r="A33" s="52" t="s">
        <v>85</v>
      </c>
      <c r="B33" s="53">
        <v>0.15</v>
      </c>
      <c r="C33" s="49"/>
      <c r="D33" s="49"/>
      <c r="E33" s="49">
        <v>0</v>
      </c>
      <c r="F33" t="s">
        <v>86</v>
      </c>
    </row>
    <row r="34" spans="1:7" x14ac:dyDescent="0.35">
      <c r="C34" s="49"/>
      <c r="D34" s="49"/>
      <c r="E34" s="49">
        <v>0</v>
      </c>
      <c r="F34" t="s">
        <v>87</v>
      </c>
    </row>
    <row r="35" spans="1:7" x14ac:dyDescent="0.35">
      <c r="C35" s="49"/>
      <c r="D35" s="49"/>
      <c r="E35" s="49">
        <v>0</v>
      </c>
      <c r="F35" t="s">
        <v>88</v>
      </c>
    </row>
    <row r="36" spans="1:7" x14ac:dyDescent="0.35">
      <c r="A36" t="str">
        <f>+[1]PLANILLA!C9</f>
        <v>Enrique Rojas</v>
      </c>
    </row>
    <row r="37" spans="1:7" x14ac:dyDescent="0.35">
      <c r="B37" s="52" t="s">
        <v>81</v>
      </c>
    </row>
    <row r="38" spans="1:7" x14ac:dyDescent="0.35">
      <c r="A38" s="52" t="s">
        <v>34</v>
      </c>
      <c r="B38" s="52"/>
      <c r="C38" s="49"/>
      <c r="D38" s="49">
        <v>1857.2</v>
      </c>
      <c r="E38" s="49"/>
      <c r="F38" s="50"/>
      <c r="G38" s="50"/>
    </row>
    <row r="39" spans="1:7" x14ac:dyDescent="0.35">
      <c r="A39" s="52" t="s">
        <v>82</v>
      </c>
      <c r="B39" s="52"/>
      <c r="C39" s="49"/>
      <c r="D39" s="49">
        <v>-11000</v>
      </c>
      <c r="E39" s="49"/>
    </row>
    <row r="40" spans="1:7" x14ac:dyDescent="0.35">
      <c r="A40" s="52" t="s">
        <v>84</v>
      </c>
      <c r="B40" s="52"/>
      <c r="C40" s="49"/>
      <c r="D40" s="49">
        <f>SUM(D38:D39)</f>
        <v>-9142.7999999999993</v>
      </c>
      <c r="E40" s="49"/>
    </row>
    <row r="41" spans="1:7" x14ac:dyDescent="0.35">
      <c r="A41" s="52" t="s">
        <v>85</v>
      </c>
      <c r="B41" s="53">
        <v>0.15</v>
      </c>
      <c r="C41" s="49"/>
      <c r="D41" s="49"/>
      <c r="E41" s="49">
        <v>1971.54</v>
      </c>
      <c r="F41" t="s">
        <v>86</v>
      </c>
    </row>
    <row r="42" spans="1:7" x14ac:dyDescent="0.35">
      <c r="C42" s="49"/>
      <c r="D42" s="49"/>
      <c r="E42" s="49">
        <v>151.65692308000001</v>
      </c>
      <c r="F42" t="s">
        <v>87</v>
      </c>
    </row>
    <row r="43" spans="1:7" x14ac:dyDescent="0.35">
      <c r="C43" s="49"/>
      <c r="D43" s="49"/>
      <c r="E43" s="49">
        <v>75.828461540000006</v>
      </c>
      <c r="F43" t="s">
        <v>88</v>
      </c>
    </row>
    <row r="45" spans="1:7" x14ac:dyDescent="0.35">
      <c r="A45" t="str">
        <f>+[1]PLANILLA!C10</f>
        <v>Dora Jimenez</v>
      </c>
      <c r="B45" s="52" t="s">
        <v>81</v>
      </c>
    </row>
    <row r="46" spans="1:7" x14ac:dyDescent="0.35">
      <c r="A46" s="52" t="s">
        <v>34</v>
      </c>
      <c r="B46" s="52"/>
      <c r="C46" s="49"/>
      <c r="D46" s="49">
        <v>1538.4614999999999</v>
      </c>
      <c r="E46" s="49"/>
      <c r="F46" s="50"/>
      <c r="G46" s="50"/>
    </row>
    <row r="47" spans="1:7" x14ac:dyDescent="0.35">
      <c r="A47" s="52" t="s">
        <v>82</v>
      </c>
      <c r="B47" s="52"/>
      <c r="C47" s="49"/>
      <c r="D47" s="49">
        <v>-11000</v>
      </c>
      <c r="E47" s="49"/>
    </row>
    <row r="48" spans="1:7" x14ac:dyDescent="0.35">
      <c r="A48" s="52" t="s">
        <v>84</v>
      </c>
      <c r="B48" s="52"/>
      <c r="C48" s="49"/>
      <c r="D48" s="49">
        <f>SUM(D46:D47)</f>
        <v>-9461.5385000000006</v>
      </c>
      <c r="E48" s="49"/>
    </row>
    <row r="49" spans="1:6" x14ac:dyDescent="0.35">
      <c r="A49" s="52" t="s">
        <v>85</v>
      </c>
      <c r="B49" s="53">
        <v>0.15</v>
      </c>
      <c r="C49" s="49"/>
      <c r="D49" s="49"/>
      <c r="E49" s="49">
        <v>1350</v>
      </c>
      <c r="F49" t="s">
        <v>86</v>
      </c>
    </row>
    <row r="50" spans="1:6" x14ac:dyDescent="0.35">
      <c r="C50" s="49"/>
      <c r="D50" s="49"/>
      <c r="E50" s="49">
        <v>103.84615384999999</v>
      </c>
      <c r="F50" t="s">
        <v>87</v>
      </c>
    </row>
    <row r="51" spans="1:6" x14ac:dyDescent="0.35">
      <c r="C51" s="49"/>
      <c r="D51" s="49"/>
      <c r="E51" s="49">
        <v>51.92307692</v>
      </c>
      <c r="F51" t="s">
        <v>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opLeftCell="A4" zoomScale="86" zoomScaleNormal="13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G23" sqref="G23"/>
    </sheetView>
  </sheetViews>
  <sheetFormatPr baseColWidth="10" defaultColWidth="10.6328125" defaultRowHeight="14.5" x14ac:dyDescent="0.35"/>
  <cols>
    <col min="1" max="1" width="28.54296875" customWidth="1"/>
    <col min="2" max="2" width="11.453125" customWidth="1"/>
    <col min="3" max="3" width="11.08984375" customWidth="1"/>
  </cols>
  <sheetData>
    <row r="1" spans="1:4" x14ac:dyDescent="0.35">
      <c r="A1" s="1" t="s">
        <v>95</v>
      </c>
      <c r="B1" s="1"/>
      <c r="C1" s="1"/>
      <c r="D1" s="1"/>
    </row>
    <row r="2" spans="1:4" x14ac:dyDescent="0.35">
      <c r="A2" s="1" t="s">
        <v>96</v>
      </c>
      <c r="B2" s="1"/>
      <c r="C2" s="1"/>
      <c r="D2" s="1"/>
    </row>
    <row r="3" spans="1:4" x14ac:dyDescent="0.35">
      <c r="A3" s="55"/>
      <c r="B3" s="55"/>
      <c r="C3" s="55"/>
      <c r="D3" s="55"/>
    </row>
    <row r="4" spans="1:4" x14ac:dyDescent="0.35">
      <c r="A4" s="55" t="s">
        <v>97</v>
      </c>
      <c r="B4" s="55"/>
      <c r="C4" s="55" t="s">
        <v>98</v>
      </c>
      <c r="D4" s="55"/>
    </row>
    <row r="5" spans="1:4" ht="15.75" customHeight="1" x14ac:dyDescent="0.35"/>
    <row r="6" spans="1:4" ht="16.5" customHeight="1" x14ac:dyDescent="0.35">
      <c r="A6" s="56" t="s">
        <v>99</v>
      </c>
      <c r="B6" s="57" t="s">
        <v>100</v>
      </c>
      <c r="C6" s="57" t="s">
        <v>101</v>
      </c>
      <c r="D6" s="58" t="s">
        <v>102</v>
      </c>
    </row>
    <row r="7" spans="1:4" x14ac:dyDescent="0.35">
      <c r="A7" s="59" t="s">
        <v>32</v>
      </c>
      <c r="B7" s="60">
        <v>6000.01</v>
      </c>
      <c r="C7" s="61">
        <v>3550.5007999999998</v>
      </c>
      <c r="D7" s="62"/>
    </row>
    <row r="8" spans="1:4" x14ac:dyDescent="0.35">
      <c r="A8" s="63" t="s">
        <v>103</v>
      </c>
      <c r="B8" s="64">
        <v>6000.02</v>
      </c>
      <c r="C8" s="65">
        <v>434.93630000000002</v>
      </c>
      <c r="D8" s="66"/>
    </row>
    <row r="9" spans="1:4" x14ac:dyDescent="0.35">
      <c r="A9" s="63" t="s">
        <v>104</v>
      </c>
      <c r="B9" s="64">
        <v>6000.03</v>
      </c>
      <c r="C9" s="65">
        <v>53.2575</v>
      </c>
      <c r="D9" s="66"/>
    </row>
    <row r="10" spans="1:4" x14ac:dyDescent="0.35">
      <c r="A10" s="63" t="s">
        <v>105</v>
      </c>
      <c r="B10" s="64">
        <v>6000.04</v>
      </c>
      <c r="C10" s="65">
        <v>74.560500000000005</v>
      </c>
      <c r="D10" s="66"/>
    </row>
    <row r="11" spans="1:4" x14ac:dyDescent="0.35">
      <c r="A11" s="63" t="s">
        <v>106</v>
      </c>
      <c r="B11" s="64">
        <v>6000.05</v>
      </c>
      <c r="C11" s="65">
        <v>322.77280000000002</v>
      </c>
      <c r="D11" s="66"/>
    </row>
    <row r="12" spans="1:4" x14ac:dyDescent="0.35">
      <c r="A12" s="63" t="s">
        <v>107</v>
      </c>
      <c r="B12" s="64">
        <v>6000.06</v>
      </c>
      <c r="C12" s="65">
        <v>295.87509999999997</v>
      </c>
      <c r="D12" s="66"/>
    </row>
    <row r="13" spans="1:4" x14ac:dyDescent="0.35">
      <c r="A13" s="63" t="s">
        <v>108</v>
      </c>
      <c r="B13" s="64">
        <v>2300.0100000000002</v>
      </c>
      <c r="C13" s="65"/>
      <c r="D13" s="66">
        <v>1179.5383999999999</v>
      </c>
    </row>
    <row r="14" spans="1:4" x14ac:dyDescent="0.35">
      <c r="A14" s="63" t="s">
        <v>109</v>
      </c>
      <c r="B14" s="64">
        <v>2302.0100000000002</v>
      </c>
      <c r="C14" s="65"/>
      <c r="D14" s="66">
        <v>345</v>
      </c>
    </row>
    <row r="15" spans="1:4" x14ac:dyDescent="0.35">
      <c r="A15" s="63" t="s">
        <v>110</v>
      </c>
      <c r="B15" s="64">
        <v>2339.0100000000002</v>
      </c>
      <c r="C15" s="65"/>
      <c r="D15" s="66">
        <v>322.77280000000002</v>
      </c>
    </row>
    <row r="16" spans="1:4" x14ac:dyDescent="0.35">
      <c r="A16" s="63" t="s">
        <v>111</v>
      </c>
      <c r="B16" s="64">
        <v>2341.0100000000002</v>
      </c>
      <c r="C16" s="65"/>
      <c r="D16" s="66">
        <v>295.87509999999997</v>
      </c>
    </row>
    <row r="17" spans="1:4" x14ac:dyDescent="0.35">
      <c r="A17" s="63" t="s">
        <v>112</v>
      </c>
      <c r="B17" s="64">
        <v>1013.01</v>
      </c>
      <c r="C17" s="65"/>
      <c r="D17" s="66">
        <v>2588.7166999999999</v>
      </c>
    </row>
    <row r="18" spans="1:4" ht="15.75" customHeight="1" x14ac:dyDescent="0.35">
      <c r="A18" s="63"/>
      <c r="B18" s="64"/>
      <c r="C18" s="65"/>
      <c r="D18" s="66"/>
    </row>
    <row r="19" spans="1:4" ht="14.5" hidden="1" customHeight="1" x14ac:dyDescent="0.35">
      <c r="A19" s="63"/>
      <c r="B19" s="64"/>
      <c r="C19" s="65"/>
      <c r="D19" s="66"/>
    </row>
    <row r="20" spans="1:4" ht="15.75" hidden="1" customHeight="1" x14ac:dyDescent="0.35">
      <c r="A20" s="67"/>
      <c r="B20" s="68"/>
      <c r="C20" s="69"/>
      <c r="D20" s="70"/>
    </row>
    <row r="21" spans="1:4" ht="15.75" customHeight="1" x14ac:dyDescent="0.35">
      <c r="A21" s="71" t="s">
        <v>113</v>
      </c>
      <c r="B21" s="72"/>
      <c r="C21" s="73">
        <f>SUM(C7:C20)</f>
        <v>4731.9029999999993</v>
      </c>
      <c r="D21" s="74">
        <f>SUM(D7:D20)</f>
        <v>4731.9030000000002</v>
      </c>
    </row>
    <row r="22" spans="1:4" x14ac:dyDescent="0.35">
      <c r="D22" s="75">
        <f>+C21-D21</f>
        <v>0</v>
      </c>
    </row>
  </sheetData>
  <mergeCells count="2">
    <mergeCell ref="A1:D1"/>
    <mergeCell ref="A2:D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PARCIAL</vt:lpstr>
      <vt:lpstr>PLANILLA</vt:lpstr>
      <vt:lpstr>ISR</vt:lpstr>
      <vt:lpstr>COMPROBANTE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Dominguez</dc:creator>
  <dc:description/>
  <cp:lastModifiedBy>Itmar Castillo</cp:lastModifiedBy>
  <cp:revision>0</cp:revision>
  <dcterms:created xsi:type="dcterms:W3CDTF">2020-06-17T19:14:10Z</dcterms:created>
  <dcterms:modified xsi:type="dcterms:W3CDTF">2026-06-25T02:37:03Z</dcterms:modified>
  <dc:language>en-US</dc:language>
</cp:coreProperties>
</file>