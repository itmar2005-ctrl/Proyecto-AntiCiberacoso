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1 Semestre 2026\"/>
    </mc:Choice>
  </mc:AlternateContent>
  <xr:revisionPtr revIDLastSave="0" documentId="13_ncr:1_{4F6E37EF-0139-4814-A499-21CF84E08022}" xr6:coauthVersionLast="47" xr6:coauthVersionMax="47" xr10:uidLastSave="{00000000-0000-0000-0000-000000000000}"/>
  <bookViews>
    <workbookView xWindow="-110" yWindow="-110" windowWidth="19420" windowHeight="11020" activeTab="1" xr2:uid="{5A031D25-928D-44CB-BC49-665633CF7E0F}"/>
  </bookViews>
  <sheets>
    <sheet name="Transacciones" sheetId="1" r:id="rId1"/>
    <sheet name="Control" sheetId="2" r:id="rId2"/>
    <sheet name="Conciliación" sheetId="3" r:id="rId3"/>
    <sheet name="Banco" sheetId="4" r:id="rId4"/>
  </sheets>
  <externalReferences>
    <externalReference r:id="rId5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3" l="1"/>
  <c r="G52" i="3"/>
  <c r="D52" i="3"/>
  <c r="K52" i="3" s="1"/>
  <c r="K55" i="3" s="1"/>
  <c r="C4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30" i="3" s="1"/>
  <c r="K15" i="3"/>
  <c r="K14" i="3"/>
  <c r="K13" i="3"/>
  <c r="K12" i="3"/>
  <c r="K11" i="3"/>
  <c r="K10" i="3"/>
  <c r="K9" i="3"/>
  <c r="K8" i="3"/>
  <c r="K33" i="3" s="1"/>
  <c r="F5" i="4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A2" i="4"/>
  <c r="A2" i="3"/>
  <c r="A1" i="2"/>
  <c r="K57" i="3" l="1"/>
</calcChain>
</file>

<file path=xl/sharedStrings.xml><?xml version="1.0" encoding="utf-8"?>
<sst xmlns="http://schemas.openxmlformats.org/spreadsheetml/2006/main" count="119" uniqueCount="84">
  <si>
    <t>DETALLE DE TRANSACCIONES</t>
  </si>
  <si>
    <t>Fecha</t>
  </si>
  <si>
    <t>Detalle</t>
  </si>
  <si>
    <t>Control del movimiento bancario</t>
  </si>
  <si>
    <t>Mes XXXXXX</t>
  </si>
  <si>
    <t>Debito</t>
  </si>
  <si>
    <t>Crédito</t>
  </si>
  <si>
    <t>Saldo</t>
  </si>
  <si>
    <t>Estado de cuenta bancario}</t>
  </si>
  <si>
    <t>Débito</t>
  </si>
  <si>
    <t>Saldo inicial</t>
  </si>
  <si>
    <t>Cheque</t>
  </si>
  <si>
    <t>Gastos bancarios</t>
  </si>
  <si>
    <t>ACH</t>
  </si>
  <si>
    <t>Timbres</t>
  </si>
  <si>
    <t>Pago</t>
  </si>
  <si>
    <t>Depósito</t>
  </si>
  <si>
    <t>CONCILIACION BANCARIA</t>
  </si>
  <si>
    <t>SALDO INICIAL EN LIBROS</t>
  </si>
  <si>
    <t>Depositos  pendientes de registros</t>
  </si>
  <si>
    <t>CARGOS POR REGISTRAR</t>
  </si>
  <si>
    <t>FECHA</t>
  </si>
  <si>
    <t>CHEQUE</t>
  </si>
  <si>
    <t>MONTO</t>
  </si>
  <si>
    <t>TOTAL DE CARGOS POR REGISTRAR</t>
  </si>
  <si>
    <t xml:space="preserve">                                                                                     </t>
  </si>
  <si>
    <t>CONCILIACION EN LIBROS</t>
  </si>
  <si>
    <t>SALDO FINAL EN BANCO</t>
  </si>
  <si>
    <t>Depósito en Transito</t>
  </si>
  <si>
    <t>DEPOSITO</t>
  </si>
  <si>
    <t xml:space="preserve"> CHEQUES EN CIRCULACION</t>
  </si>
  <si>
    <t xml:space="preserve">CHEQUE </t>
  </si>
  <si>
    <t>CHEQUES EN CIRCULACION</t>
  </si>
  <si>
    <t>TOTAL CONCILIADO</t>
  </si>
  <si>
    <t>DIFERENCIA</t>
  </si>
  <si>
    <t>HASTA EL 30/X/20XX</t>
  </si>
  <si>
    <t>Banco XXXX</t>
  </si>
  <si>
    <t>N° Cheque</t>
  </si>
  <si>
    <t>AGENCIAS LOS MEJORES, S.A.</t>
  </si>
  <si>
    <t>Servicio bancario</t>
  </si>
  <si>
    <t>Intereses bancarios</t>
  </si>
  <si>
    <t>Transferencias intenacional</t>
  </si>
  <si>
    <t>Pago de planilla</t>
  </si>
  <si>
    <t xml:space="preserve">El saldo final de banco del mes anterior es por </t>
  </si>
  <si>
    <t>Realizamos el pago a proveedores por ACH por</t>
  </si>
  <si>
    <t>Se recibe ACH de un cliente por</t>
  </si>
  <si>
    <t>Intereses bancarios por un monto de</t>
  </si>
  <si>
    <t xml:space="preserve">Realizamos depósito bancario por </t>
  </si>
  <si>
    <t xml:space="preserve">Se registra gasto de la transferencia bancaria por </t>
  </si>
  <si>
    <t xml:space="preserve">Se realizó transferencia internacional por un monto de </t>
  </si>
  <si>
    <t>Gasto por confección de una chequera</t>
  </si>
  <si>
    <t>Se realizó depósito bancario por</t>
  </si>
  <si>
    <t xml:space="preserve">Se realizó depósito bancario por </t>
  </si>
  <si>
    <t>Se pago la planilla por ACH por un monto de</t>
  </si>
  <si>
    <t>Se giro el cheque 15444</t>
  </si>
  <si>
    <t>Se giro el cheque 15445</t>
  </si>
  <si>
    <t xml:space="preserve">Se giró el cheque 15447 por un monto de </t>
  </si>
  <si>
    <t>Se pago por ACH el recibo de la energía electríca por</t>
  </si>
  <si>
    <t xml:space="preserve">Se realizó depósito bancario por un monto de </t>
  </si>
  <si>
    <t xml:space="preserve">Se reealió deposito bancario por un monto de </t>
  </si>
  <si>
    <t xml:space="preserve">Gasto bancario de </t>
  </si>
  <si>
    <t xml:space="preserve">Timbres bancarios </t>
  </si>
  <si>
    <t>Se gira cheque 15443</t>
  </si>
  <si>
    <t xml:space="preserve">Pago </t>
  </si>
  <si>
    <t>Gastos ban transferencia</t>
  </si>
  <si>
    <t>Chequera</t>
  </si>
  <si>
    <t>Gasto de anualidad</t>
  </si>
  <si>
    <t>UNIVERSIDAD TECNOLOGICA DE PANAMA</t>
  </si>
  <si>
    <t>Pago a proveedores por ACH</t>
  </si>
  <si>
    <t>Recibo ACH de cliente</t>
  </si>
  <si>
    <t>Depósito bancario</t>
  </si>
  <si>
    <t>Giro cheque</t>
  </si>
  <si>
    <t>Gasto de transferencia bancaria</t>
  </si>
  <si>
    <t>Transferencia internacional</t>
  </si>
  <si>
    <t>Gasto confección de chequera</t>
  </si>
  <si>
    <t>Pago de planilla por ACH</t>
  </si>
  <si>
    <t>Pago energía eléctrica por ACH</t>
  </si>
  <si>
    <t>Gasto bancario</t>
  </si>
  <si>
    <t>Timbres bancarios</t>
  </si>
  <si>
    <t>TOTALES</t>
  </si>
  <si>
    <r>
      <t>PARCIAL N°3          Estudiante:_</t>
    </r>
    <r>
      <rPr>
        <u/>
        <sz val="11"/>
        <color theme="1"/>
        <rFont val="Calibri"/>
        <family val="2"/>
        <scheme val="minor"/>
      </rPr>
      <t>_Itmar Castillo___</t>
    </r>
    <r>
      <rPr>
        <sz val="11"/>
        <color theme="1"/>
        <rFont val="Calibri"/>
        <family val="2"/>
        <scheme val="minor"/>
      </rPr>
      <t xml:space="preserve">   Cédula:</t>
    </r>
    <r>
      <rPr>
        <u/>
        <sz val="11"/>
        <color theme="1"/>
        <rFont val="Calibri"/>
        <family val="2"/>
        <scheme val="minor"/>
      </rPr>
      <t>_8-1027-180__</t>
    </r>
    <r>
      <rPr>
        <sz val="11"/>
        <color theme="1"/>
        <rFont val="Calibri"/>
        <family val="2"/>
        <scheme val="minor"/>
      </rPr>
      <t>_</t>
    </r>
  </si>
  <si>
    <r>
      <t>CONTABILIDAD GENERAL                                                               FECHA:</t>
    </r>
    <r>
      <rPr>
        <u/>
        <sz val="11"/>
        <color theme="1"/>
        <rFont val="Calibri"/>
        <family val="2"/>
        <scheme val="minor"/>
      </rPr>
      <t>__3/6/2026__</t>
    </r>
    <r>
      <rPr>
        <sz val="11"/>
        <color theme="1"/>
        <rFont val="Calibri"/>
        <family val="2"/>
        <scheme val="minor"/>
      </rPr>
      <t>_</t>
    </r>
  </si>
  <si>
    <t>Saldo inicial = 22,222.22</t>
  </si>
  <si>
    <t>ACH pendiente de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</si>
</sst>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######0.00"/>
    <numFmt numFmtId="165" formatCode="_-* #,##0.00_-;\-* #,##0.00_-;_-* \-??_-;_-@_-"/>
    <numFmt numFmtId="166" formatCode="#,##0.00_);\(#,##0.00\)"/>
    <numFmt numFmtId="167" formatCode="m/d/yyyy"/>
    <numFmt numFmtId="168" formatCode="_ * #,##0.00_ ;_ * \-#,##0.00_ ;_ * \-??_ ;_ @_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name val="Calibri"/>
      <family val="2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rgb="FFEDEDED"/>
      </patternFill>
    </fill>
    <fill>
      <patternFill patternType="solid">
        <fgColor rgb="FFFFFF66"/>
        <bgColor rgb="FFFFFF00"/>
      </patternFill>
    </fill>
    <fill>
      <patternFill patternType="solid">
        <fgColor theme="6" tint="0.79989013336588644"/>
        <bgColor rgb="FFFFFFFF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4" fontId="0" fillId="0" borderId="0" xfId="0" applyNumberFormat="1"/>
    <xf numFmtId="0" fontId="4" fillId="0" borderId="0" xfId="0" applyFont="1"/>
    <xf numFmtId="43" fontId="4" fillId="0" borderId="0" xfId="0" applyNumberFormat="1" applyFont="1"/>
    <xf numFmtId="0" fontId="0" fillId="0" borderId="1" xfId="0" applyBorder="1"/>
    <xf numFmtId="14" fontId="4" fillId="0" borderId="1" xfId="0" applyNumberFormat="1" applyFont="1" applyBorder="1"/>
    <xf numFmtId="4" fontId="0" fillId="0" borderId="1" xfId="0" applyNumberFormat="1" applyBorder="1"/>
    <xf numFmtId="0" fontId="4" fillId="0" borderId="0" xfId="0" applyFont="1" applyAlignment="1">
      <alignment horizontal="center"/>
    </xf>
    <xf numFmtId="4" fontId="4" fillId="0" borderId="0" xfId="0" applyNumberFormat="1" applyFont="1"/>
    <xf numFmtId="39" fontId="4" fillId="0" borderId="0" xfId="0" applyNumberFormat="1" applyFont="1"/>
    <xf numFmtId="14" fontId="5" fillId="0" borderId="1" xfId="0" applyNumberFormat="1" applyFont="1" applyBorder="1" applyAlignment="1">
      <alignment horizontal="left"/>
    </xf>
    <xf numFmtId="0" fontId="0" fillId="4" borderId="0" xfId="0" applyFill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vertical="center" wrapText="1"/>
    </xf>
    <xf numFmtId="4" fontId="7" fillId="5" borderId="1" xfId="0" applyNumberFormat="1" applyFont="1" applyFill="1" applyBorder="1" applyAlignment="1">
      <alignment vertical="center" wrapText="1"/>
    </xf>
    <xf numFmtId="0" fontId="0" fillId="3" borderId="0" xfId="0" applyFill="1"/>
    <xf numFmtId="0" fontId="7" fillId="3" borderId="1" xfId="0" applyFont="1" applyFill="1" applyBorder="1" applyAlignment="1">
      <alignment vertical="center" wrapText="1"/>
    </xf>
    <xf numFmtId="4" fontId="7" fillId="3" borderId="1" xfId="0" applyNumberFormat="1" applyFont="1" applyFill="1" applyBorder="1" applyAlignment="1">
      <alignment vertical="center" wrapText="1"/>
    </xf>
    <xf numFmtId="0" fontId="10" fillId="0" borderId="1" xfId="0" applyFont="1" applyBorder="1"/>
    <xf numFmtId="4" fontId="10" fillId="0" borderId="1" xfId="0" applyNumberFormat="1" applyFont="1" applyBorder="1"/>
    <xf numFmtId="0" fontId="11" fillId="6" borderId="1" xfId="0" applyFont="1" applyFill="1" applyBorder="1" applyAlignment="1">
      <alignment horizontal="left"/>
    </xf>
    <xf numFmtId="165" fontId="11" fillId="6" borderId="1" xfId="1" applyNumberFormat="1" applyFont="1" applyFill="1" applyBorder="1" applyAlignment="1">
      <alignment horizontal="left"/>
    </xf>
    <xf numFmtId="4" fontId="11" fillId="6" borderId="1" xfId="0" applyNumberFormat="1" applyFont="1" applyFill="1" applyBorder="1" applyAlignment="1">
      <alignment horizontal="left"/>
    </xf>
    <xf numFmtId="166" fontId="11" fillId="6" borderId="1" xfId="0" applyNumberFormat="1" applyFont="1" applyFill="1" applyBorder="1"/>
    <xf numFmtId="0" fontId="12" fillId="0" borderId="1" xfId="0" applyFont="1" applyBorder="1"/>
    <xf numFmtId="4" fontId="12" fillId="0" borderId="1" xfId="0" applyNumberFormat="1" applyFont="1" applyBorder="1"/>
    <xf numFmtId="0" fontId="11" fillId="6" borderId="1" xfId="0" applyFont="1" applyFill="1" applyBorder="1" applyAlignment="1">
      <alignment horizontal="right"/>
    </xf>
    <xf numFmtId="0" fontId="11" fillId="0" borderId="1" xfId="0" applyFont="1" applyBorder="1" applyAlignment="1">
      <alignment horizontal="left"/>
    </xf>
    <xf numFmtId="165" fontId="11" fillId="0" borderId="1" xfId="1" applyNumberFormat="1" applyFont="1" applyBorder="1" applyAlignment="1">
      <alignment horizontal="left"/>
    </xf>
    <xf numFmtId="4" fontId="11" fillId="6" borderId="1" xfId="1" applyNumberFormat="1" applyFont="1" applyFill="1" applyBorder="1" applyAlignment="1">
      <alignment horizontal="left"/>
    </xf>
    <xf numFmtId="4" fontId="11" fillId="6" borderId="1" xfId="0" applyNumberFormat="1" applyFont="1" applyFill="1" applyBorder="1" applyAlignment="1">
      <alignment horizontal="right"/>
    </xf>
    <xf numFmtId="165" fontId="11" fillId="6" borderId="1" xfId="1" applyNumberFormat="1" applyFont="1" applyFill="1" applyBorder="1"/>
    <xf numFmtId="0" fontId="12" fillId="0" borderId="0" xfId="0" applyFont="1"/>
    <xf numFmtId="165" fontId="11" fillId="0" borderId="1" xfId="1" applyNumberFormat="1" applyFont="1" applyBorder="1" applyAlignment="1">
      <alignment horizontal="right"/>
    </xf>
    <xf numFmtId="167" fontId="12" fillId="0" borderId="1" xfId="0" applyNumberFormat="1" applyFont="1" applyBorder="1"/>
    <xf numFmtId="165" fontId="12" fillId="0" borderId="1" xfId="1" applyNumberFormat="1" applyFont="1" applyBorder="1" applyAlignment="1">
      <alignment horizontal="right" wrapText="1"/>
    </xf>
    <xf numFmtId="4" fontId="12" fillId="0" borderId="1" xfId="1" applyNumberFormat="1" applyFont="1" applyBorder="1" applyAlignment="1">
      <alignment horizontal="right" wrapText="1"/>
    </xf>
    <xf numFmtId="4" fontId="11" fillId="0" borderId="1" xfId="1" applyNumberFormat="1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165" fontId="11" fillId="0" borderId="1" xfId="1" applyNumberFormat="1" applyFont="1" applyBorder="1"/>
    <xf numFmtId="0" fontId="11" fillId="6" borderId="1" xfId="0" applyFont="1" applyFill="1" applyBorder="1" applyAlignment="1">
      <alignment horizontal="center"/>
    </xf>
    <xf numFmtId="0" fontId="11" fillId="0" borderId="1" xfId="0" applyFont="1" applyBorder="1"/>
    <xf numFmtId="166" fontId="12" fillId="0" borderId="1" xfId="0" applyNumberFormat="1" applyFont="1" applyBorder="1" applyAlignment="1">
      <alignment horizontal="right" wrapText="1"/>
    </xf>
    <xf numFmtId="0" fontId="11" fillId="7" borderId="1" xfId="0" applyFont="1" applyFill="1" applyBorder="1" applyAlignment="1">
      <alignment horizontal="center"/>
    </xf>
    <xf numFmtId="165" fontId="11" fillId="7" borderId="1" xfId="1" applyNumberFormat="1" applyFont="1" applyFill="1" applyBorder="1" applyAlignment="1">
      <alignment horizontal="left"/>
    </xf>
    <xf numFmtId="4" fontId="11" fillId="7" borderId="1" xfId="1" applyNumberFormat="1" applyFont="1" applyFill="1" applyBorder="1" applyAlignment="1">
      <alignment horizontal="left"/>
    </xf>
    <xf numFmtId="0" fontId="11" fillId="0" borderId="1" xfId="0" applyFont="1" applyBorder="1" applyAlignment="1">
      <alignment vertical="center"/>
    </xf>
    <xf numFmtId="4" fontId="11" fillId="0" borderId="1" xfId="1" applyNumberFormat="1" applyFont="1" applyBorder="1" applyAlignment="1">
      <alignment vertical="top"/>
    </xf>
    <xf numFmtId="2" fontId="11" fillId="0" borderId="1" xfId="1" applyNumberFormat="1" applyFont="1" applyBorder="1" applyAlignment="1">
      <alignment vertical="top"/>
    </xf>
    <xf numFmtId="165" fontId="11" fillId="0" borderId="1" xfId="1" applyNumberFormat="1" applyFont="1" applyBorder="1" applyAlignment="1">
      <alignment horizontal="center"/>
    </xf>
    <xf numFmtId="4" fontId="11" fillId="0" borderId="1" xfId="1" applyNumberFormat="1" applyFont="1" applyBorder="1"/>
    <xf numFmtId="4" fontId="11" fillId="0" borderId="1" xfId="0" applyNumberFormat="1" applyFont="1" applyBorder="1" applyAlignment="1">
      <alignment vertical="top"/>
    </xf>
    <xf numFmtId="164" fontId="11" fillId="0" borderId="1" xfId="0" applyNumberFormat="1" applyFont="1" applyBorder="1" applyAlignment="1">
      <alignment vertical="top"/>
    </xf>
    <xf numFmtId="168" fontId="11" fillId="0" borderId="1" xfId="1" applyNumberFormat="1" applyFont="1" applyBorder="1" applyAlignment="1">
      <alignment vertical="top"/>
    </xf>
    <xf numFmtId="4" fontId="11" fillId="0" borderId="1" xfId="1" applyNumberFormat="1" applyFont="1" applyBorder="1" applyAlignment="1">
      <alignment horizontal="right"/>
    </xf>
    <xf numFmtId="2" fontId="11" fillId="0" borderId="1" xfId="1" applyNumberFormat="1" applyFont="1" applyBorder="1" applyAlignment="1">
      <alignment horizontal="left"/>
    </xf>
    <xf numFmtId="2" fontId="11" fillId="0" borderId="1" xfId="1" applyNumberFormat="1" applyFont="1" applyBorder="1" applyAlignment="1">
      <alignment horizontal="right"/>
    </xf>
    <xf numFmtId="167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4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4" fontId="11" fillId="0" borderId="1" xfId="0" applyNumberFormat="1" applyFont="1" applyBorder="1" applyAlignment="1">
      <alignment horizontal="left"/>
    </xf>
    <xf numFmtId="166" fontId="13" fillId="0" borderId="1" xfId="0" applyNumberFormat="1" applyFont="1" applyBorder="1"/>
    <xf numFmtId="0" fontId="12" fillId="6" borderId="1" xfId="0" applyFont="1" applyFill="1" applyBorder="1" applyAlignment="1">
      <alignment horizontal="center"/>
    </xf>
    <xf numFmtId="4" fontId="12" fillId="6" borderId="1" xfId="0" applyNumberFormat="1" applyFont="1" applyFill="1" applyBorder="1" applyAlignment="1">
      <alignment horizontal="center"/>
    </xf>
    <xf numFmtId="0" fontId="11" fillId="8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right"/>
    </xf>
    <xf numFmtId="165" fontId="11" fillId="8" borderId="1" xfId="1" applyNumberFormat="1" applyFont="1" applyFill="1" applyBorder="1" applyAlignment="1">
      <alignment horizontal="left"/>
    </xf>
    <xf numFmtId="0" fontId="11" fillId="8" borderId="1" xfId="0" applyFont="1" applyFill="1" applyBorder="1" applyAlignment="1">
      <alignment horizontal="center"/>
    </xf>
    <xf numFmtId="4" fontId="11" fillId="8" borderId="1" xfId="0" applyNumberFormat="1" applyFont="1" applyFill="1" applyBorder="1" applyAlignment="1">
      <alignment horizontal="center"/>
    </xf>
    <xf numFmtId="166" fontId="12" fillId="8" borderId="1" xfId="0" applyNumberFormat="1" applyFont="1" applyFill="1" applyBorder="1"/>
    <xf numFmtId="4" fontId="11" fillId="0" borderId="1" xfId="0" applyNumberFormat="1" applyFont="1" applyBorder="1" applyAlignment="1">
      <alignment horizontal="center"/>
    </xf>
    <xf numFmtId="166" fontId="12" fillId="0" borderId="1" xfId="0" applyNumberFormat="1" applyFont="1" applyBorder="1"/>
    <xf numFmtId="166" fontId="11" fillId="6" borderId="1" xfId="1" applyNumberFormat="1" applyFont="1" applyFill="1" applyBorder="1" applyAlignment="1">
      <alignment horizontal="left"/>
    </xf>
    <xf numFmtId="4" fontId="11" fillId="6" borderId="1" xfId="0" applyNumberFormat="1" applyFont="1" applyFill="1" applyBorder="1"/>
    <xf numFmtId="166" fontId="12" fillId="6" borderId="1" xfId="0" applyNumberFormat="1" applyFont="1" applyFill="1" applyBorder="1"/>
    <xf numFmtId="0" fontId="11" fillId="6" borderId="1" xfId="0" applyFont="1" applyFill="1" applyBorder="1"/>
    <xf numFmtId="4" fontId="12" fillId="6" borderId="1" xfId="0" applyNumberFormat="1" applyFont="1" applyFill="1" applyBorder="1"/>
    <xf numFmtId="167" fontId="12" fillId="0" borderId="1" xfId="0" applyNumberFormat="1" applyFont="1" applyBorder="1" applyAlignment="1">
      <alignment horizontal="left" wrapText="1"/>
    </xf>
    <xf numFmtId="164" fontId="11" fillId="0" borderId="1" xfId="0" applyNumberFormat="1" applyFont="1" applyBorder="1" applyAlignment="1">
      <alignment horizontal="right"/>
    </xf>
    <xf numFmtId="165" fontId="12" fillId="6" borderId="1" xfId="1" applyNumberFormat="1" applyFont="1" applyFill="1" applyBorder="1"/>
    <xf numFmtId="166" fontId="11" fillId="6" borderId="1" xfId="0" applyNumberFormat="1" applyFont="1" applyFill="1" applyBorder="1" applyAlignment="1">
      <alignment horizontal="right"/>
    </xf>
    <xf numFmtId="166" fontId="11" fillId="0" borderId="1" xfId="0" applyNumberFormat="1" applyFont="1" applyBorder="1"/>
    <xf numFmtId="166" fontId="11" fillId="6" borderId="1" xfId="0" applyNumberFormat="1" applyFont="1" applyFill="1" applyBorder="1" applyAlignment="1">
      <alignment horizontal="left"/>
    </xf>
    <xf numFmtId="0" fontId="12" fillId="6" borderId="1" xfId="0" applyFont="1" applyFill="1" applyBorder="1"/>
    <xf numFmtId="165" fontId="11" fillId="7" borderId="1" xfId="1" applyNumberFormat="1" applyFont="1" applyFill="1" applyBorder="1"/>
    <xf numFmtId="0" fontId="11" fillId="7" borderId="1" xfId="0" applyFont="1" applyFill="1" applyBorder="1"/>
    <xf numFmtId="4" fontId="11" fillId="7" borderId="1" xfId="0" applyNumberFormat="1" applyFont="1" applyFill="1" applyBorder="1"/>
    <xf numFmtId="167" fontId="12" fillId="0" borderId="2" xfId="0" applyNumberFormat="1" applyFont="1" applyBorder="1"/>
    <xf numFmtId="0" fontId="12" fillId="0" borderId="2" xfId="0" applyFont="1" applyBorder="1"/>
    <xf numFmtId="165" fontId="14" fillId="0" borderId="1" xfId="1" applyNumberFormat="1" applyFont="1" applyBorder="1"/>
    <xf numFmtId="0" fontId="12" fillId="0" borderId="3" xfId="0" applyFont="1" applyBorder="1" applyAlignment="1">
      <alignment horizontal="left"/>
    </xf>
    <xf numFmtId="165" fontId="14" fillId="6" borderId="1" xfId="1" applyNumberFormat="1" applyFont="1" applyFill="1" applyBorder="1" applyAlignment="1">
      <alignment horizontal="right"/>
    </xf>
    <xf numFmtId="0" fontId="12" fillId="0" borderId="3" xfId="0" applyFont="1" applyBorder="1"/>
    <xf numFmtId="164" fontId="11" fillId="0" borderId="1" xfId="0" applyNumberFormat="1" applyFont="1" applyBorder="1" applyAlignment="1">
      <alignment horizontal="left"/>
    </xf>
    <xf numFmtId="165" fontId="12" fillId="6" borderId="1" xfId="1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12" fillId="9" borderId="1" xfId="0" applyFont="1" applyFill="1" applyBorder="1"/>
    <xf numFmtId="4" fontId="12" fillId="9" borderId="1" xfId="0" applyNumberFormat="1" applyFont="1" applyFill="1" applyBorder="1"/>
    <xf numFmtId="166" fontId="12" fillId="9" borderId="1" xfId="0" applyNumberFormat="1" applyFont="1" applyFill="1" applyBorder="1"/>
    <xf numFmtId="0" fontId="0" fillId="0" borderId="0" xfId="0" applyAlignment="1">
      <alignment horizontal="center"/>
    </xf>
    <xf numFmtId="0" fontId="9" fillId="5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adominguez\Documents\AAA%20PERSONAL%20AD\A%20AA%20UNIVER\UTP\CLASES%20DICTADAS\2024\II%20SEMESTRE%2024\II%20SEMESTRE%202024\MODULO%206.1%20MANEJO%20DE%20EFECTIVO\4%20Transacciones%20de%20bancos%20PARCIAL%20RESUELTO.xlsx" TargetMode="External"/><Relationship Id="rId2" Type="http://schemas.microsoft.com/office/2019/04/relationships/externalLinkLongPath" Target="/Users/adominguez/Documents/AAA%20PERSONAL%20AD/A%20AA%20UNIVER/UTP/CLASES%20DICTADAS/2026/I%20SEMESTRE/1277%20CONTABILIDD%20GENERAL/MODULO%204%20Contabilidad%20de%20efectivo,%20pago%20registro%20planilla/1%20EFECTIVO/4%20Transacciones%20de%20bancos%20PARCIAL%20RESUELTO.xlsx?11CD5928" TargetMode="External"/><Relationship Id="rId1" Type="http://schemas.openxmlformats.org/officeDocument/2006/relationships/externalLinkPath" Target="file:///\\11CD5928\4%20Transacciones%20de%20bancos%20PARCIAL%20RESUEL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ransacciones"/>
      <sheetName val="Control"/>
      <sheetName val="Hoja1"/>
      <sheetName val="Conciliación"/>
      <sheetName val="Banco"/>
    </sheetNames>
    <sheetDataSet>
      <sheetData sheetId="0">
        <row r="1">
          <cell r="A1" t="str">
            <v>AGENCIAS LOS MEJORES, S.A.</v>
          </cell>
        </row>
        <row r="4">
          <cell r="C4">
            <v>22222.22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DA19-6CC6-41FF-9B24-DD323FA907FE}">
  <dimension ref="A1:F28"/>
  <sheetViews>
    <sheetView topLeftCell="A5" zoomScale="72" zoomScaleNormal="130" workbookViewId="0">
      <selection activeCell="F31" sqref="F31"/>
    </sheetView>
  </sheetViews>
  <sheetFormatPr baseColWidth="10" defaultRowHeight="14.5" x14ac:dyDescent="0.35"/>
  <cols>
    <col min="1" max="1" width="10" customWidth="1"/>
    <col min="2" max="2" width="33.36328125" customWidth="1"/>
  </cols>
  <sheetData>
    <row r="1" spans="1:6" x14ac:dyDescent="0.35">
      <c r="A1" s="104" t="s">
        <v>67</v>
      </c>
      <c r="B1" s="104"/>
      <c r="C1" s="104"/>
      <c r="D1" s="104"/>
      <c r="E1" s="104"/>
      <c r="F1" s="104"/>
    </row>
    <row r="2" spans="1:6" ht="18" customHeight="1" x14ac:dyDescent="0.35">
      <c r="A2" s="104" t="s">
        <v>81</v>
      </c>
      <c r="B2" s="104"/>
      <c r="C2" s="104"/>
      <c r="D2" s="104"/>
      <c r="E2" s="104"/>
      <c r="F2" s="104"/>
    </row>
    <row r="3" spans="1:6" ht="16.75" customHeight="1" x14ac:dyDescent="0.35">
      <c r="A3" s="104" t="s">
        <v>80</v>
      </c>
      <c r="B3" s="104"/>
      <c r="C3" s="104"/>
      <c r="D3" s="104"/>
      <c r="E3" s="104"/>
      <c r="F3" s="104"/>
    </row>
    <row r="5" spans="1:6" x14ac:dyDescent="0.35">
      <c r="A5" t="s">
        <v>38</v>
      </c>
    </row>
    <row r="6" spans="1:6" x14ac:dyDescent="0.35">
      <c r="A6" t="s">
        <v>0</v>
      </c>
    </row>
    <row r="7" spans="1:6" x14ac:dyDescent="0.35">
      <c r="B7" t="s">
        <v>43</v>
      </c>
      <c r="F7" s="1">
        <v>22222.22</v>
      </c>
    </row>
    <row r="8" spans="1:6" x14ac:dyDescent="0.35">
      <c r="A8" t="s">
        <v>1</v>
      </c>
      <c r="B8" t="s">
        <v>2</v>
      </c>
    </row>
    <row r="9" spans="1:6" x14ac:dyDescent="0.35">
      <c r="A9">
        <v>1</v>
      </c>
      <c r="B9" t="s">
        <v>44</v>
      </c>
      <c r="F9" s="1">
        <v>8465.5300000000007</v>
      </c>
    </row>
    <row r="10" spans="1:6" x14ac:dyDescent="0.35">
      <c r="A10">
        <v>1</v>
      </c>
      <c r="B10" t="s">
        <v>45</v>
      </c>
      <c r="F10" s="1">
        <v>3845.63</v>
      </c>
    </row>
    <row r="11" spans="1:6" x14ac:dyDescent="0.35">
      <c r="A11">
        <v>1</v>
      </c>
      <c r="B11" t="s">
        <v>51</v>
      </c>
      <c r="F11" s="1">
        <v>11465.65</v>
      </c>
    </row>
    <row r="12" spans="1:6" x14ac:dyDescent="0.35">
      <c r="A12">
        <v>2</v>
      </c>
      <c r="B12" t="s">
        <v>62</v>
      </c>
      <c r="F12" s="1">
        <v>12448.89</v>
      </c>
    </row>
    <row r="13" spans="1:6" x14ac:dyDescent="0.35">
      <c r="A13">
        <v>4</v>
      </c>
      <c r="B13" t="s">
        <v>46</v>
      </c>
      <c r="F13" s="1">
        <v>7348.88</v>
      </c>
    </row>
    <row r="14" spans="1:6" x14ac:dyDescent="0.35">
      <c r="A14">
        <v>5</v>
      </c>
      <c r="B14" t="s">
        <v>47</v>
      </c>
      <c r="F14" s="1">
        <v>16466.580000000002</v>
      </c>
    </row>
    <row r="15" spans="1:6" x14ac:dyDescent="0.35">
      <c r="A15">
        <v>6</v>
      </c>
      <c r="B15" t="s">
        <v>48</v>
      </c>
      <c r="F15" s="1">
        <v>482.21</v>
      </c>
    </row>
    <row r="16" spans="1:6" x14ac:dyDescent="0.35">
      <c r="A16">
        <v>9</v>
      </c>
      <c r="B16" t="s">
        <v>49</v>
      </c>
      <c r="F16" s="1">
        <v>16876.419999999998</v>
      </c>
    </row>
    <row r="17" spans="1:6" x14ac:dyDescent="0.35">
      <c r="A17">
        <v>12</v>
      </c>
      <c r="B17" t="s">
        <v>50</v>
      </c>
      <c r="F17" s="1">
        <v>186.43</v>
      </c>
    </row>
    <row r="18" spans="1:6" x14ac:dyDescent="0.35">
      <c r="A18">
        <v>13</v>
      </c>
      <c r="B18" t="s">
        <v>54</v>
      </c>
      <c r="F18" s="1">
        <v>7894.32</v>
      </c>
    </row>
    <row r="19" spans="1:6" x14ac:dyDescent="0.35">
      <c r="A19">
        <v>13</v>
      </c>
      <c r="B19" t="s">
        <v>55</v>
      </c>
      <c r="F19" s="1">
        <v>4477.6499999999996</v>
      </c>
    </row>
    <row r="20" spans="1:6" x14ac:dyDescent="0.35">
      <c r="A20">
        <v>15</v>
      </c>
      <c r="B20" t="s">
        <v>52</v>
      </c>
      <c r="F20" s="1">
        <v>19486.47</v>
      </c>
    </row>
    <row r="21" spans="1:6" x14ac:dyDescent="0.35">
      <c r="A21">
        <v>15</v>
      </c>
      <c r="B21" t="s">
        <v>53</v>
      </c>
      <c r="F21" s="1">
        <v>12486.44</v>
      </c>
    </row>
    <row r="22" spans="1:6" x14ac:dyDescent="0.35">
      <c r="A22">
        <v>20</v>
      </c>
      <c r="B22" t="s">
        <v>56</v>
      </c>
      <c r="F22" s="1">
        <v>5645.33</v>
      </c>
    </row>
    <row r="23" spans="1:6" x14ac:dyDescent="0.35">
      <c r="A23">
        <v>23</v>
      </c>
      <c r="B23" t="s">
        <v>57</v>
      </c>
      <c r="F23" s="1">
        <v>4566.3599999999997</v>
      </c>
    </row>
    <row r="24" spans="1:6" x14ac:dyDescent="0.35">
      <c r="A24">
        <v>30</v>
      </c>
      <c r="B24" t="s">
        <v>58</v>
      </c>
      <c r="F24" s="1">
        <v>12899.63</v>
      </c>
    </row>
    <row r="25" spans="1:6" x14ac:dyDescent="0.35">
      <c r="A25">
        <v>30</v>
      </c>
      <c r="B25" t="s">
        <v>59</v>
      </c>
      <c r="F25" s="1">
        <v>6466.67</v>
      </c>
    </row>
    <row r="26" spans="1:6" x14ac:dyDescent="0.35">
      <c r="A26">
        <v>30</v>
      </c>
      <c r="B26" t="s">
        <v>60</v>
      </c>
      <c r="F26" s="1">
        <v>64.599999999999994</v>
      </c>
    </row>
    <row r="27" spans="1:6" x14ac:dyDescent="0.35">
      <c r="A27">
        <v>30</v>
      </c>
      <c r="B27" t="s">
        <v>61</v>
      </c>
      <c r="F27" s="1">
        <v>0.1</v>
      </c>
    </row>
    <row r="28" spans="1:6" ht="8.4" customHeight="1" x14ac:dyDescent="0.35"/>
  </sheetData>
  <mergeCells count="3">
    <mergeCell ref="A1:F1"/>
    <mergeCell ref="A2:F2"/>
    <mergeCell ref="A3:F3"/>
  </mergeCells>
  <pageMargins left="0.70866141732283472" right="0.70866141732283472" top="0.74803149606299213" bottom="0.74803149606299213" header="0.31496062992125984" footer="0.31496062992125984"/>
  <pageSetup paperSize="120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F68B-92C0-4285-AD2F-BEFB25DD5B02}">
  <dimension ref="A1:G203"/>
  <sheetViews>
    <sheetView tabSelected="1" zoomScale="87" zoomScaleNormal="120" workbookViewId="0">
      <selection activeCell="E24" sqref="E24"/>
    </sheetView>
  </sheetViews>
  <sheetFormatPr baseColWidth="10" defaultRowHeight="14.5" x14ac:dyDescent="0.35"/>
  <cols>
    <col min="2" max="2" width="27.1796875" bestFit="1" customWidth="1"/>
    <col min="3" max="3" width="10.6328125" bestFit="1" customWidth="1"/>
    <col min="4" max="4" width="11.36328125" customWidth="1"/>
    <col min="5" max="5" width="14.1796875" customWidth="1"/>
    <col min="6" max="6" width="9.1796875" bestFit="1" customWidth="1"/>
    <col min="7" max="7" width="8.984375E-2" hidden="1" customWidth="1"/>
  </cols>
  <sheetData>
    <row r="1" spans="1:7" x14ac:dyDescent="0.35">
      <c r="A1" t="str">
        <f>+Transacciones!A5</f>
        <v>AGENCIAS LOS MEJORES, S.A.</v>
      </c>
    </row>
    <row r="2" spans="1:7" x14ac:dyDescent="0.35">
      <c r="A2" t="s">
        <v>3</v>
      </c>
    </row>
    <row r="3" spans="1:7" x14ac:dyDescent="0.35">
      <c r="A3" t="s">
        <v>4</v>
      </c>
      <c r="C3" s="105" t="s">
        <v>82</v>
      </c>
      <c r="D3" s="105"/>
      <c r="E3" s="105"/>
      <c r="F3" s="105"/>
      <c r="G3" s="105"/>
    </row>
    <row r="4" spans="1:7" x14ac:dyDescent="0.35">
      <c r="A4" s="12" t="s">
        <v>1</v>
      </c>
      <c r="B4" s="12" t="s">
        <v>2</v>
      </c>
      <c r="C4" s="13" t="s">
        <v>37</v>
      </c>
      <c r="D4" s="12" t="s">
        <v>5</v>
      </c>
      <c r="E4" s="12" t="s">
        <v>6</v>
      </c>
      <c r="F4" s="12" t="s">
        <v>7</v>
      </c>
    </row>
    <row r="5" spans="1:7" x14ac:dyDescent="0.35">
      <c r="A5" s="14">
        <v>1</v>
      </c>
      <c r="B5" s="14" t="s">
        <v>68</v>
      </c>
      <c r="C5" s="14"/>
      <c r="D5" s="15">
        <v>8465.5300000000007</v>
      </c>
      <c r="E5" s="15"/>
      <c r="F5" s="15">
        <v>13756.69</v>
      </c>
      <c r="G5" s="16"/>
    </row>
    <row r="6" spans="1:7" x14ac:dyDescent="0.35">
      <c r="A6" s="17">
        <v>1</v>
      </c>
      <c r="B6" s="17" t="s">
        <v>69</v>
      </c>
      <c r="C6" s="17"/>
      <c r="D6" s="18"/>
      <c r="E6" s="18">
        <v>3845.63</v>
      </c>
      <c r="F6" s="18">
        <v>17602.32</v>
      </c>
      <c r="G6" s="16"/>
    </row>
    <row r="7" spans="1:7" x14ac:dyDescent="0.35">
      <c r="A7" s="14">
        <v>1</v>
      </c>
      <c r="B7" s="14" t="s">
        <v>70</v>
      </c>
      <c r="C7" s="14"/>
      <c r="D7" s="15"/>
      <c r="E7" s="15">
        <v>11465.65</v>
      </c>
      <c r="F7" s="15">
        <v>29067.97</v>
      </c>
      <c r="G7" s="16"/>
    </row>
    <row r="8" spans="1:7" x14ac:dyDescent="0.35">
      <c r="A8" s="17">
        <v>2</v>
      </c>
      <c r="B8" s="17" t="s">
        <v>71</v>
      </c>
      <c r="C8" s="17">
        <v>15443</v>
      </c>
      <c r="D8" s="18">
        <v>12448.89</v>
      </c>
      <c r="E8" s="18"/>
      <c r="F8" s="18">
        <v>16619.080000000002</v>
      </c>
      <c r="G8" s="16"/>
    </row>
    <row r="9" spans="1:7" x14ac:dyDescent="0.35">
      <c r="A9" s="14">
        <v>4</v>
      </c>
      <c r="B9" s="14" t="s">
        <v>40</v>
      </c>
      <c r="C9" s="14"/>
      <c r="D9" s="15">
        <v>7348.88</v>
      </c>
      <c r="E9" s="15"/>
      <c r="F9" s="15">
        <v>9270.2000000000007</v>
      </c>
      <c r="G9" s="16"/>
    </row>
    <row r="10" spans="1:7" x14ac:dyDescent="0.35">
      <c r="A10" s="17">
        <v>5</v>
      </c>
      <c r="B10" s="17" t="s">
        <v>70</v>
      </c>
      <c r="C10" s="17"/>
      <c r="D10" s="18"/>
      <c r="E10" s="18">
        <v>16466.580000000002</v>
      </c>
      <c r="F10" s="18">
        <v>25736.78</v>
      </c>
      <c r="G10" s="16"/>
    </row>
    <row r="11" spans="1:7" ht="25" x14ac:dyDescent="0.35">
      <c r="A11" s="14">
        <v>6</v>
      </c>
      <c r="B11" s="14" t="s">
        <v>72</v>
      </c>
      <c r="C11" s="14"/>
      <c r="D11" s="15">
        <v>482.21</v>
      </c>
      <c r="E11" s="15"/>
      <c r="F11" s="15">
        <v>25254.57</v>
      </c>
      <c r="G11" s="16"/>
    </row>
    <row r="12" spans="1:7" x14ac:dyDescent="0.35">
      <c r="A12" s="17">
        <v>9</v>
      </c>
      <c r="B12" s="17" t="s">
        <v>73</v>
      </c>
      <c r="C12" s="17"/>
      <c r="D12" s="18">
        <v>16876.419999999998</v>
      </c>
      <c r="E12" s="18"/>
      <c r="F12" s="18">
        <v>8378.15</v>
      </c>
      <c r="G12" s="16"/>
    </row>
    <row r="13" spans="1:7" x14ac:dyDescent="0.35">
      <c r="A13" s="14">
        <v>12</v>
      </c>
      <c r="B13" s="14" t="s">
        <v>74</v>
      </c>
      <c r="C13" s="14"/>
      <c r="D13" s="15">
        <v>186.43</v>
      </c>
      <c r="E13" s="15"/>
      <c r="F13" s="15">
        <v>8191.72</v>
      </c>
      <c r="G13" s="16"/>
    </row>
    <row r="14" spans="1:7" x14ac:dyDescent="0.35">
      <c r="A14" s="17">
        <v>13</v>
      </c>
      <c r="B14" s="17" t="s">
        <v>71</v>
      </c>
      <c r="C14" s="17">
        <v>15444</v>
      </c>
      <c r="D14" s="18">
        <v>7894.32</v>
      </c>
      <c r="E14" s="18"/>
      <c r="F14" s="18">
        <v>297.39999999999998</v>
      </c>
      <c r="G14" s="16"/>
    </row>
    <row r="15" spans="1:7" x14ac:dyDescent="0.35">
      <c r="A15" s="14">
        <v>13</v>
      </c>
      <c r="B15" s="14" t="s">
        <v>71</v>
      </c>
      <c r="C15" s="14">
        <v>15445</v>
      </c>
      <c r="D15" s="15">
        <v>4477.6499999999996</v>
      </c>
      <c r="E15" s="14"/>
      <c r="F15" s="15">
        <v>-4180.25</v>
      </c>
      <c r="G15" s="16"/>
    </row>
    <row r="16" spans="1:7" x14ac:dyDescent="0.35">
      <c r="A16" s="17">
        <v>15</v>
      </c>
      <c r="B16" s="17" t="s">
        <v>70</v>
      </c>
      <c r="C16" s="17"/>
      <c r="D16" s="18"/>
      <c r="E16" s="18">
        <v>19486.47</v>
      </c>
      <c r="F16" s="18">
        <v>15306.22</v>
      </c>
      <c r="G16" s="16"/>
    </row>
    <row r="17" spans="1:7" x14ac:dyDescent="0.35">
      <c r="A17" s="14">
        <v>15</v>
      </c>
      <c r="B17" s="14" t="s">
        <v>75</v>
      </c>
      <c r="C17" s="14"/>
      <c r="D17" s="15">
        <v>12486.44</v>
      </c>
      <c r="E17" s="15"/>
      <c r="F17" s="15">
        <v>2819.78</v>
      </c>
      <c r="G17" s="16"/>
    </row>
    <row r="18" spans="1:7" x14ac:dyDescent="0.35">
      <c r="A18" s="17">
        <v>20</v>
      </c>
      <c r="B18" s="17" t="s">
        <v>71</v>
      </c>
      <c r="C18" s="17">
        <v>15447</v>
      </c>
      <c r="D18" s="18">
        <v>5645.33</v>
      </c>
      <c r="E18" s="18"/>
      <c r="F18" s="18">
        <v>-2825.55</v>
      </c>
      <c r="G18" s="16"/>
    </row>
    <row r="19" spans="1:7" x14ac:dyDescent="0.35">
      <c r="A19" s="14">
        <v>23</v>
      </c>
      <c r="B19" s="14" t="s">
        <v>76</v>
      </c>
      <c r="C19" s="14"/>
      <c r="D19" s="15">
        <v>4566.3599999999997</v>
      </c>
      <c r="E19" s="15"/>
      <c r="F19" s="15">
        <v>-7391.91</v>
      </c>
      <c r="G19" s="16"/>
    </row>
    <row r="20" spans="1:7" x14ac:dyDescent="0.35">
      <c r="A20" s="17">
        <v>30</v>
      </c>
      <c r="B20" s="17" t="s">
        <v>70</v>
      </c>
      <c r="C20" s="17"/>
      <c r="D20" s="17"/>
      <c r="E20" s="18">
        <v>12899.63</v>
      </c>
      <c r="F20" s="18">
        <v>5507.72</v>
      </c>
      <c r="G20" s="16"/>
    </row>
    <row r="21" spans="1:7" x14ac:dyDescent="0.35">
      <c r="A21" s="14">
        <v>30</v>
      </c>
      <c r="B21" s="14" t="s">
        <v>70</v>
      </c>
      <c r="C21" s="14"/>
      <c r="D21" s="15"/>
      <c r="E21" s="15">
        <v>6466.67</v>
      </c>
      <c r="F21" s="15">
        <v>11974.39</v>
      </c>
      <c r="G21" s="16"/>
    </row>
    <row r="22" spans="1:7" x14ac:dyDescent="0.35">
      <c r="A22" s="17">
        <v>30</v>
      </c>
      <c r="B22" s="17" t="s">
        <v>77</v>
      </c>
      <c r="C22" s="17"/>
      <c r="D22" s="18">
        <v>64.599999999999994</v>
      </c>
      <c r="E22" s="17"/>
      <c r="F22" s="18">
        <v>11909.79</v>
      </c>
      <c r="G22" s="16"/>
    </row>
    <row r="23" spans="1:7" x14ac:dyDescent="0.35">
      <c r="A23" s="14">
        <v>30</v>
      </c>
      <c r="B23" s="14" t="s">
        <v>78</v>
      </c>
      <c r="C23" s="14"/>
      <c r="D23" s="15">
        <v>0.1</v>
      </c>
      <c r="E23" s="15"/>
      <c r="F23" s="15">
        <v>11909.69</v>
      </c>
      <c r="G23" s="16"/>
    </row>
    <row r="24" spans="1:7" x14ac:dyDescent="0.35">
      <c r="A24" s="19"/>
      <c r="B24" s="19" t="s">
        <v>79</v>
      </c>
      <c r="C24" s="4"/>
      <c r="D24" s="20">
        <v>80943.16</v>
      </c>
      <c r="E24" s="20">
        <v>70630.63</v>
      </c>
      <c r="F24" s="20">
        <v>11909.69</v>
      </c>
    </row>
    <row r="29" spans="1:7" x14ac:dyDescent="0.35">
      <c r="D29" s="1"/>
      <c r="E29" s="1"/>
      <c r="F29" s="1"/>
    </row>
    <row r="30" spans="1:7" x14ac:dyDescent="0.35">
      <c r="D30" s="1"/>
      <c r="E30" s="1"/>
      <c r="F30" s="1"/>
    </row>
    <row r="31" spans="1:7" x14ac:dyDescent="0.35">
      <c r="D31" s="1"/>
      <c r="E31" s="1"/>
      <c r="F31" s="1"/>
    </row>
    <row r="32" spans="1:7" x14ac:dyDescent="0.35">
      <c r="D32" s="1"/>
      <c r="E32" s="1"/>
      <c r="F32" s="1"/>
    </row>
    <row r="33" spans="4:6" x14ac:dyDescent="0.35">
      <c r="D33" s="1"/>
      <c r="E33" s="1"/>
      <c r="F33" s="1"/>
    </row>
    <row r="34" spans="4:6" x14ac:dyDescent="0.35">
      <c r="D34" s="1"/>
      <c r="E34" s="1"/>
      <c r="F34" s="1"/>
    </row>
    <row r="35" spans="4:6" x14ac:dyDescent="0.35">
      <c r="D35" s="1"/>
      <c r="E35" s="1"/>
      <c r="F35" s="1"/>
    </row>
    <row r="36" spans="4:6" x14ac:dyDescent="0.35">
      <c r="D36" s="1"/>
      <c r="E36" s="1"/>
      <c r="F36" s="1"/>
    </row>
    <row r="37" spans="4:6" x14ac:dyDescent="0.35">
      <c r="D37" s="1"/>
      <c r="E37" s="1"/>
      <c r="F37" s="1"/>
    </row>
    <row r="38" spans="4:6" x14ac:dyDescent="0.35">
      <c r="D38" s="1"/>
      <c r="E38" s="1"/>
      <c r="F38" s="1"/>
    </row>
    <row r="39" spans="4:6" x14ac:dyDescent="0.35">
      <c r="D39" s="1"/>
      <c r="E39" s="1"/>
      <c r="F39" s="1"/>
    </row>
    <row r="40" spans="4:6" x14ac:dyDescent="0.35">
      <c r="D40" s="1"/>
      <c r="E40" s="1"/>
      <c r="F40" s="1"/>
    </row>
    <row r="41" spans="4:6" x14ac:dyDescent="0.35">
      <c r="D41" s="1"/>
      <c r="E41" s="1"/>
      <c r="F41" s="1"/>
    </row>
    <row r="42" spans="4:6" x14ac:dyDescent="0.35">
      <c r="D42" s="1"/>
      <c r="E42" s="1"/>
      <c r="F42" s="1"/>
    </row>
    <row r="43" spans="4:6" x14ac:dyDescent="0.35">
      <c r="D43" s="1"/>
      <c r="E43" s="1"/>
      <c r="F43" s="1"/>
    </row>
    <row r="44" spans="4:6" x14ac:dyDescent="0.35">
      <c r="D44" s="1"/>
      <c r="E44" s="1"/>
      <c r="F44" s="1"/>
    </row>
    <row r="45" spans="4:6" x14ac:dyDescent="0.35">
      <c r="D45" s="1"/>
      <c r="E45" s="1"/>
      <c r="F45" s="1"/>
    </row>
    <row r="46" spans="4:6" x14ac:dyDescent="0.35">
      <c r="D46" s="1"/>
      <c r="E46" s="1"/>
      <c r="F46" s="1"/>
    </row>
    <row r="47" spans="4:6" x14ac:dyDescent="0.35">
      <c r="D47" s="1"/>
      <c r="E47" s="1"/>
      <c r="F47" s="1"/>
    </row>
    <row r="48" spans="4:6" x14ac:dyDescent="0.35">
      <c r="D48" s="1"/>
      <c r="E48" s="1"/>
      <c r="F48" s="1"/>
    </row>
    <row r="49" spans="4:6" x14ac:dyDescent="0.35">
      <c r="D49" s="1"/>
      <c r="E49" s="1"/>
      <c r="F49" s="1"/>
    </row>
    <row r="50" spans="4:6" x14ac:dyDescent="0.35">
      <c r="D50" s="1"/>
      <c r="E50" s="1"/>
      <c r="F50" s="1"/>
    </row>
    <row r="51" spans="4:6" x14ac:dyDescent="0.35">
      <c r="D51" s="1"/>
      <c r="E51" s="1"/>
      <c r="F51" s="1"/>
    </row>
    <row r="52" spans="4:6" x14ac:dyDescent="0.35">
      <c r="D52" s="1"/>
      <c r="E52" s="1"/>
      <c r="F52" s="1"/>
    </row>
    <row r="53" spans="4:6" x14ac:dyDescent="0.35">
      <c r="D53" s="1"/>
      <c r="E53" s="1"/>
      <c r="F53" s="1"/>
    </row>
    <row r="54" spans="4:6" x14ac:dyDescent="0.35">
      <c r="D54" s="1"/>
      <c r="E54" s="1"/>
      <c r="F54" s="1"/>
    </row>
    <row r="55" spans="4:6" x14ac:dyDescent="0.35">
      <c r="D55" s="1"/>
      <c r="E55" s="1"/>
      <c r="F55" s="1"/>
    </row>
    <row r="56" spans="4:6" x14ac:dyDescent="0.35">
      <c r="D56" s="1"/>
      <c r="E56" s="1"/>
      <c r="F56" s="1"/>
    </row>
    <row r="57" spans="4:6" x14ac:dyDescent="0.35">
      <c r="D57" s="1"/>
      <c r="E57" s="1"/>
      <c r="F57" s="1"/>
    </row>
    <row r="58" spans="4:6" x14ac:dyDescent="0.35">
      <c r="D58" s="1"/>
      <c r="E58" s="1"/>
      <c r="F58" s="1"/>
    </row>
    <row r="59" spans="4:6" x14ac:dyDescent="0.35">
      <c r="D59" s="1"/>
      <c r="E59" s="1"/>
      <c r="F59" s="1"/>
    </row>
    <row r="60" spans="4:6" x14ac:dyDescent="0.35">
      <c r="D60" s="1"/>
      <c r="E60" s="1"/>
      <c r="F60" s="1"/>
    </row>
    <row r="61" spans="4:6" x14ac:dyDescent="0.35">
      <c r="D61" s="1"/>
      <c r="E61" s="1"/>
      <c r="F61" s="1"/>
    </row>
    <row r="62" spans="4:6" x14ac:dyDescent="0.35">
      <c r="D62" s="1"/>
      <c r="E62" s="1"/>
      <c r="F62" s="1"/>
    </row>
    <row r="63" spans="4:6" x14ac:dyDescent="0.35">
      <c r="D63" s="1"/>
      <c r="E63" s="1"/>
      <c r="F63" s="1"/>
    </row>
    <row r="64" spans="4:6" x14ac:dyDescent="0.35">
      <c r="D64" s="1"/>
      <c r="E64" s="1"/>
      <c r="F64" s="1"/>
    </row>
    <row r="65" spans="4:6" x14ac:dyDescent="0.35">
      <c r="D65" s="1"/>
      <c r="E65" s="1"/>
      <c r="F65" s="1"/>
    </row>
    <row r="66" spans="4:6" x14ac:dyDescent="0.35">
      <c r="D66" s="1"/>
      <c r="E66" s="1"/>
      <c r="F66" s="1"/>
    </row>
    <row r="67" spans="4:6" x14ac:dyDescent="0.35">
      <c r="D67" s="1"/>
      <c r="E67" s="1"/>
      <c r="F67" s="1"/>
    </row>
    <row r="68" spans="4:6" x14ac:dyDescent="0.35">
      <c r="D68" s="1"/>
      <c r="E68" s="1"/>
      <c r="F68" s="1"/>
    </row>
    <row r="69" spans="4:6" x14ac:dyDescent="0.35">
      <c r="D69" s="1"/>
      <c r="E69" s="1"/>
      <c r="F69" s="1"/>
    </row>
    <row r="70" spans="4:6" x14ac:dyDescent="0.35">
      <c r="D70" s="1"/>
      <c r="E70" s="1"/>
      <c r="F70" s="1"/>
    </row>
    <row r="71" spans="4:6" x14ac:dyDescent="0.35">
      <c r="D71" s="1"/>
      <c r="E71" s="1"/>
      <c r="F71" s="1"/>
    </row>
    <row r="72" spans="4:6" x14ac:dyDescent="0.35">
      <c r="D72" s="1"/>
      <c r="E72" s="1"/>
      <c r="F72" s="1"/>
    </row>
    <row r="73" spans="4:6" x14ac:dyDescent="0.35">
      <c r="D73" s="1"/>
      <c r="E73" s="1"/>
      <c r="F73" s="1"/>
    </row>
    <row r="74" spans="4:6" x14ac:dyDescent="0.35">
      <c r="D74" s="1"/>
      <c r="E74" s="1"/>
      <c r="F74" s="1"/>
    </row>
    <row r="75" spans="4:6" x14ac:dyDescent="0.35">
      <c r="D75" s="1"/>
      <c r="E75" s="1"/>
      <c r="F75" s="1"/>
    </row>
    <row r="76" spans="4:6" x14ac:dyDescent="0.35">
      <c r="D76" s="1"/>
      <c r="E76" s="1"/>
      <c r="F76" s="1"/>
    </row>
    <row r="77" spans="4:6" x14ac:dyDescent="0.35">
      <c r="D77" s="1"/>
      <c r="E77" s="1"/>
      <c r="F77" s="1"/>
    </row>
    <row r="78" spans="4:6" x14ac:dyDescent="0.35">
      <c r="D78" s="1"/>
      <c r="E78" s="1"/>
      <c r="F78" s="1"/>
    </row>
    <row r="79" spans="4:6" x14ac:dyDescent="0.35">
      <c r="D79" s="1"/>
      <c r="E79" s="1"/>
      <c r="F79" s="1"/>
    </row>
    <row r="80" spans="4:6" x14ac:dyDescent="0.35">
      <c r="D80" s="1"/>
      <c r="E80" s="1"/>
      <c r="F80" s="1"/>
    </row>
    <row r="81" spans="4:6" x14ac:dyDescent="0.35">
      <c r="D81" s="1"/>
      <c r="E81" s="1"/>
      <c r="F81" s="1"/>
    </row>
    <row r="82" spans="4:6" x14ac:dyDescent="0.35">
      <c r="D82" s="1"/>
      <c r="E82" s="1"/>
      <c r="F82" s="1"/>
    </row>
    <row r="83" spans="4:6" x14ac:dyDescent="0.35">
      <c r="D83" s="1"/>
      <c r="E83" s="1"/>
      <c r="F83" s="1"/>
    </row>
    <row r="84" spans="4:6" x14ac:dyDescent="0.35">
      <c r="D84" s="1"/>
      <c r="E84" s="1"/>
      <c r="F84" s="1"/>
    </row>
    <row r="85" spans="4:6" x14ac:dyDescent="0.35">
      <c r="D85" s="1"/>
      <c r="E85" s="1"/>
      <c r="F85" s="1"/>
    </row>
    <row r="86" spans="4:6" x14ac:dyDescent="0.35">
      <c r="D86" s="1"/>
      <c r="E86" s="1"/>
      <c r="F86" s="1"/>
    </row>
    <row r="87" spans="4:6" x14ac:dyDescent="0.35">
      <c r="D87" s="1"/>
      <c r="E87" s="1"/>
      <c r="F87" s="1"/>
    </row>
    <row r="88" spans="4:6" x14ac:dyDescent="0.35">
      <c r="D88" s="1"/>
      <c r="E88" s="1"/>
      <c r="F88" s="1"/>
    </row>
    <row r="89" spans="4:6" x14ac:dyDescent="0.35">
      <c r="D89" s="1"/>
      <c r="E89" s="1"/>
      <c r="F89" s="1"/>
    </row>
    <row r="90" spans="4:6" x14ac:dyDescent="0.35">
      <c r="D90" s="1"/>
      <c r="E90" s="1"/>
      <c r="F90" s="1"/>
    </row>
    <row r="91" spans="4:6" x14ac:dyDescent="0.35">
      <c r="D91" s="1"/>
      <c r="E91" s="1"/>
      <c r="F91" s="1"/>
    </row>
    <row r="92" spans="4:6" x14ac:dyDescent="0.35">
      <c r="D92" s="1"/>
      <c r="E92" s="1"/>
      <c r="F92" s="1"/>
    </row>
    <row r="93" spans="4:6" x14ac:dyDescent="0.35">
      <c r="D93" s="1"/>
      <c r="E93" s="1"/>
      <c r="F93" s="1"/>
    </row>
    <row r="94" spans="4:6" x14ac:dyDescent="0.35">
      <c r="D94" s="1"/>
      <c r="E94" s="1"/>
      <c r="F94" s="1"/>
    </row>
    <row r="95" spans="4:6" x14ac:dyDescent="0.35">
      <c r="D95" s="1"/>
      <c r="E95" s="1"/>
      <c r="F95" s="1"/>
    </row>
    <row r="96" spans="4:6" x14ac:dyDescent="0.35">
      <c r="D96" s="1"/>
      <c r="E96" s="1"/>
      <c r="F96" s="1"/>
    </row>
    <row r="97" spans="4:6" x14ac:dyDescent="0.35">
      <c r="D97" s="1"/>
      <c r="E97" s="1"/>
      <c r="F97" s="1"/>
    </row>
    <row r="98" spans="4:6" x14ac:dyDescent="0.35">
      <c r="D98" s="1"/>
      <c r="E98" s="1"/>
      <c r="F98" s="1"/>
    </row>
    <row r="99" spans="4:6" x14ac:dyDescent="0.35">
      <c r="D99" s="1"/>
      <c r="E99" s="1"/>
      <c r="F99" s="1"/>
    </row>
    <row r="100" spans="4:6" x14ac:dyDescent="0.35">
      <c r="D100" s="1"/>
      <c r="E100" s="1"/>
      <c r="F100" s="1"/>
    </row>
    <row r="101" spans="4:6" x14ac:dyDescent="0.35">
      <c r="D101" s="1"/>
      <c r="E101" s="1"/>
      <c r="F101" s="1"/>
    </row>
    <row r="102" spans="4:6" x14ac:dyDescent="0.35">
      <c r="D102" s="1"/>
      <c r="E102" s="1"/>
      <c r="F102" s="1"/>
    </row>
    <row r="103" spans="4:6" x14ac:dyDescent="0.35">
      <c r="D103" s="1"/>
      <c r="E103" s="1"/>
      <c r="F103" s="1"/>
    </row>
    <row r="104" spans="4:6" x14ac:dyDescent="0.35">
      <c r="D104" s="1"/>
      <c r="E104" s="1"/>
      <c r="F104" s="1"/>
    </row>
    <row r="105" spans="4:6" x14ac:dyDescent="0.35">
      <c r="D105" s="1"/>
      <c r="E105" s="1"/>
      <c r="F105" s="1"/>
    </row>
    <row r="106" spans="4:6" x14ac:dyDescent="0.35">
      <c r="D106" s="1"/>
      <c r="E106" s="1"/>
      <c r="F106" s="1"/>
    </row>
    <row r="107" spans="4:6" x14ac:dyDescent="0.35">
      <c r="D107" s="1"/>
      <c r="E107" s="1"/>
      <c r="F107" s="1"/>
    </row>
    <row r="108" spans="4:6" x14ac:dyDescent="0.35">
      <c r="D108" s="1"/>
      <c r="E108" s="1"/>
      <c r="F108" s="1"/>
    </row>
    <row r="109" spans="4:6" x14ac:dyDescent="0.35">
      <c r="D109" s="1"/>
      <c r="E109" s="1"/>
      <c r="F109" s="1"/>
    </row>
    <row r="110" spans="4:6" x14ac:dyDescent="0.35">
      <c r="D110" s="1"/>
      <c r="E110" s="1"/>
      <c r="F110" s="1"/>
    </row>
    <row r="111" spans="4:6" x14ac:dyDescent="0.35">
      <c r="D111" s="1"/>
      <c r="E111" s="1"/>
      <c r="F111" s="1"/>
    </row>
    <row r="112" spans="4:6" x14ac:dyDescent="0.35">
      <c r="D112" s="1"/>
      <c r="E112" s="1"/>
      <c r="F112" s="1"/>
    </row>
    <row r="113" spans="4:6" x14ac:dyDescent="0.35">
      <c r="D113" s="1"/>
      <c r="E113" s="1"/>
      <c r="F113" s="1"/>
    </row>
    <row r="114" spans="4:6" x14ac:dyDescent="0.35">
      <c r="D114" s="1"/>
      <c r="E114" s="1"/>
      <c r="F114" s="1"/>
    </row>
    <row r="115" spans="4:6" x14ac:dyDescent="0.35">
      <c r="D115" s="1"/>
      <c r="E115" s="1"/>
      <c r="F115" s="1"/>
    </row>
    <row r="116" spans="4:6" x14ac:dyDescent="0.35">
      <c r="D116" s="1"/>
      <c r="E116" s="1"/>
      <c r="F116" s="1"/>
    </row>
    <row r="117" spans="4:6" x14ac:dyDescent="0.35">
      <c r="D117" s="1"/>
      <c r="E117" s="1"/>
      <c r="F117" s="1"/>
    </row>
    <row r="118" spans="4:6" x14ac:dyDescent="0.35">
      <c r="D118" s="1"/>
      <c r="E118" s="1"/>
      <c r="F118" s="1"/>
    </row>
    <row r="119" spans="4:6" x14ac:dyDescent="0.35">
      <c r="D119" s="1"/>
      <c r="E119" s="1"/>
      <c r="F119" s="1"/>
    </row>
    <row r="120" spans="4:6" x14ac:dyDescent="0.35">
      <c r="D120" s="1"/>
      <c r="E120" s="1"/>
      <c r="F120" s="1"/>
    </row>
    <row r="121" spans="4:6" x14ac:dyDescent="0.35">
      <c r="D121" s="1"/>
      <c r="E121" s="1"/>
      <c r="F121" s="1"/>
    </row>
    <row r="122" spans="4:6" x14ac:dyDescent="0.35">
      <c r="D122" s="1"/>
      <c r="E122" s="1"/>
      <c r="F122" s="1"/>
    </row>
    <row r="123" spans="4:6" x14ac:dyDescent="0.35">
      <c r="D123" s="1"/>
      <c r="E123" s="1"/>
      <c r="F123" s="1"/>
    </row>
    <row r="124" spans="4:6" x14ac:dyDescent="0.35">
      <c r="D124" s="1"/>
      <c r="E124" s="1"/>
      <c r="F124" s="1"/>
    </row>
    <row r="125" spans="4:6" x14ac:dyDescent="0.35">
      <c r="D125" s="1"/>
      <c r="E125" s="1"/>
      <c r="F125" s="1"/>
    </row>
    <row r="126" spans="4:6" x14ac:dyDescent="0.35">
      <c r="D126" s="1"/>
      <c r="E126" s="1"/>
      <c r="F126" s="1"/>
    </row>
    <row r="127" spans="4:6" x14ac:dyDescent="0.35">
      <c r="D127" s="1"/>
      <c r="E127" s="1"/>
      <c r="F127" s="1"/>
    </row>
    <row r="128" spans="4:6" x14ac:dyDescent="0.35">
      <c r="D128" s="1"/>
      <c r="E128" s="1"/>
      <c r="F128" s="1"/>
    </row>
    <row r="129" spans="4:6" x14ac:dyDescent="0.35">
      <c r="D129" s="1"/>
      <c r="E129" s="1"/>
      <c r="F129" s="1"/>
    </row>
    <row r="130" spans="4:6" x14ac:dyDescent="0.35">
      <c r="D130" s="1"/>
      <c r="E130" s="1"/>
      <c r="F130" s="1"/>
    </row>
    <row r="131" spans="4:6" x14ac:dyDescent="0.35">
      <c r="D131" s="1"/>
      <c r="E131" s="1"/>
      <c r="F131" s="1"/>
    </row>
    <row r="132" spans="4:6" x14ac:dyDescent="0.35">
      <c r="D132" s="1"/>
      <c r="E132" s="1"/>
      <c r="F132" s="1"/>
    </row>
    <row r="133" spans="4:6" x14ac:dyDescent="0.35">
      <c r="D133" s="1"/>
      <c r="E133" s="1"/>
      <c r="F133" s="1"/>
    </row>
    <row r="134" spans="4:6" x14ac:dyDescent="0.35">
      <c r="D134" s="1"/>
      <c r="E134" s="1"/>
      <c r="F134" s="1"/>
    </row>
    <row r="135" spans="4:6" x14ac:dyDescent="0.35">
      <c r="D135" s="1"/>
      <c r="E135" s="1"/>
      <c r="F135" s="1"/>
    </row>
    <row r="136" spans="4:6" x14ac:dyDescent="0.35">
      <c r="D136" s="1"/>
      <c r="E136" s="1"/>
      <c r="F136" s="1"/>
    </row>
    <row r="137" spans="4:6" x14ac:dyDescent="0.35">
      <c r="D137" s="1"/>
      <c r="E137" s="1"/>
      <c r="F137" s="1"/>
    </row>
    <row r="138" spans="4:6" x14ac:dyDescent="0.35">
      <c r="D138" s="1"/>
      <c r="E138" s="1"/>
      <c r="F138" s="1"/>
    </row>
    <row r="139" spans="4:6" x14ac:dyDescent="0.35">
      <c r="D139" s="1"/>
      <c r="E139" s="1"/>
      <c r="F139" s="1"/>
    </row>
    <row r="140" spans="4:6" x14ac:dyDescent="0.35">
      <c r="D140" s="1"/>
      <c r="E140" s="1"/>
      <c r="F140" s="1"/>
    </row>
    <row r="141" spans="4:6" x14ac:dyDescent="0.35">
      <c r="D141" s="1"/>
      <c r="E141" s="1"/>
      <c r="F141" s="1"/>
    </row>
    <row r="142" spans="4:6" x14ac:dyDescent="0.35">
      <c r="D142" s="1"/>
      <c r="E142" s="1"/>
      <c r="F142" s="1"/>
    </row>
    <row r="143" spans="4:6" x14ac:dyDescent="0.35">
      <c r="D143" s="1"/>
      <c r="E143" s="1"/>
      <c r="F143" s="1"/>
    </row>
    <row r="144" spans="4:6" x14ac:dyDescent="0.35">
      <c r="D144" s="1"/>
      <c r="E144" s="1"/>
      <c r="F144" s="1"/>
    </row>
    <row r="145" spans="4:6" x14ac:dyDescent="0.35">
      <c r="D145" s="1"/>
      <c r="E145" s="1"/>
      <c r="F145" s="1"/>
    </row>
    <row r="146" spans="4:6" x14ac:dyDescent="0.35">
      <c r="D146" s="1"/>
      <c r="E146" s="1"/>
      <c r="F146" s="1"/>
    </row>
    <row r="147" spans="4:6" x14ac:dyDescent="0.35">
      <c r="D147" s="1"/>
      <c r="E147" s="1"/>
      <c r="F147" s="1"/>
    </row>
    <row r="148" spans="4:6" x14ac:dyDescent="0.35">
      <c r="D148" s="1"/>
      <c r="E148" s="1"/>
      <c r="F148" s="1"/>
    </row>
    <row r="149" spans="4:6" x14ac:dyDescent="0.35">
      <c r="D149" s="1"/>
      <c r="E149" s="1"/>
      <c r="F149" s="1"/>
    </row>
    <row r="150" spans="4:6" x14ac:dyDescent="0.35">
      <c r="D150" s="1"/>
      <c r="E150" s="1"/>
      <c r="F150" s="1"/>
    </row>
    <row r="151" spans="4:6" x14ac:dyDescent="0.35">
      <c r="D151" s="1"/>
      <c r="E151" s="1"/>
      <c r="F151" s="1"/>
    </row>
    <row r="152" spans="4:6" x14ac:dyDescent="0.35">
      <c r="D152" s="1"/>
      <c r="E152" s="1"/>
      <c r="F152" s="1"/>
    </row>
    <row r="153" spans="4:6" x14ac:dyDescent="0.35">
      <c r="D153" s="1"/>
      <c r="E153" s="1"/>
      <c r="F153" s="1"/>
    </row>
    <row r="154" spans="4:6" x14ac:dyDescent="0.35">
      <c r="D154" s="1"/>
      <c r="E154" s="1"/>
      <c r="F154" s="1"/>
    </row>
    <row r="155" spans="4:6" x14ac:dyDescent="0.35">
      <c r="D155" s="1"/>
      <c r="E155" s="1"/>
      <c r="F155" s="1"/>
    </row>
    <row r="156" spans="4:6" x14ac:dyDescent="0.35">
      <c r="D156" s="1"/>
      <c r="E156" s="1"/>
      <c r="F156" s="1"/>
    </row>
    <row r="157" spans="4:6" x14ac:dyDescent="0.35">
      <c r="D157" s="1"/>
      <c r="E157" s="1"/>
      <c r="F157" s="1"/>
    </row>
    <row r="158" spans="4:6" x14ac:dyDescent="0.35">
      <c r="D158" s="1"/>
      <c r="E158" s="1"/>
      <c r="F158" s="1"/>
    </row>
    <row r="159" spans="4:6" x14ac:dyDescent="0.35">
      <c r="D159" s="1"/>
      <c r="E159" s="1"/>
      <c r="F159" s="1"/>
    </row>
    <row r="160" spans="4:6" x14ac:dyDescent="0.35">
      <c r="D160" s="1"/>
      <c r="E160" s="1"/>
      <c r="F160" s="1"/>
    </row>
    <row r="161" spans="4:6" x14ac:dyDescent="0.35">
      <c r="D161" s="1"/>
      <c r="E161" s="1"/>
      <c r="F161" s="1"/>
    </row>
    <row r="162" spans="4:6" x14ac:dyDescent="0.35">
      <c r="D162" s="1"/>
      <c r="E162" s="1"/>
      <c r="F162" s="1"/>
    </row>
    <row r="163" spans="4:6" x14ac:dyDescent="0.35">
      <c r="D163" s="1"/>
      <c r="E163" s="1"/>
      <c r="F163" s="1"/>
    </row>
    <row r="164" spans="4:6" x14ac:dyDescent="0.35">
      <c r="D164" s="1"/>
      <c r="E164" s="1"/>
      <c r="F164" s="1"/>
    </row>
    <row r="165" spans="4:6" x14ac:dyDescent="0.35">
      <c r="D165" s="1"/>
      <c r="E165" s="1"/>
      <c r="F165" s="1"/>
    </row>
    <row r="166" spans="4:6" x14ac:dyDescent="0.35">
      <c r="D166" s="1"/>
      <c r="E166" s="1"/>
      <c r="F166" s="1"/>
    </row>
    <row r="167" spans="4:6" x14ac:dyDescent="0.35">
      <c r="D167" s="1"/>
      <c r="E167" s="1"/>
      <c r="F167" s="1"/>
    </row>
    <row r="168" spans="4:6" x14ac:dyDescent="0.35">
      <c r="D168" s="1"/>
      <c r="E168" s="1"/>
      <c r="F168" s="1"/>
    </row>
    <row r="169" spans="4:6" x14ac:dyDescent="0.35">
      <c r="D169" s="1"/>
      <c r="E169" s="1"/>
      <c r="F169" s="1"/>
    </row>
    <row r="170" spans="4:6" x14ac:dyDescent="0.35">
      <c r="D170" s="1"/>
      <c r="E170" s="1"/>
      <c r="F170" s="1"/>
    </row>
    <row r="171" spans="4:6" x14ac:dyDescent="0.35">
      <c r="D171" s="1"/>
      <c r="E171" s="1"/>
      <c r="F171" s="1"/>
    </row>
    <row r="172" spans="4:6" x14ac:dyDescent="0.35">
      <c r="D172" s="1"/>
      <c r="E172" s="1"/>
      <c r="F172" s="1"/>
    </row>
    <row r="173" spans="4:6" x14ac:dyDescent="0.35">
      <c r="D173" s="1"/>
      <c r="E173" s="1"/>
      <c r="F173" s="1"/>
    </row>
    <row r="174" spans="4:6" x14ac:dyDescent="0.35">
      <c r="D174" s="1"/>
      <c r="E174" s="1"/>
      <c r="F174" s="1"/>
    </row>
    <row r="175" spans="4:6" x14ac:dyDescent="0.35">
      <c r="D175" s="1"/>
      <c r="E175" s="1"/>
      <c r="F175" s="1"/>
    </row>
    <row r="176" spans="4:6" x14ac:dyDescent="0.35">
      <c r="D176" s="1"/>
      <c r="E176" s="1"/>
      <c r="F176" s="1"/>
    </row>
    <row r="177" spans="4:6" x14ac:dyDescent="0.35">
      <c r="D177" s="1"/>
      <c r="E177" s="1"/>
      <c r="F177" s="1"/>
    </row>
    <row r="178" spans="4:6" x14ac:dyDescent="0.35">
      <c r="D178" s="1"/>
      <c r="E178" s="1"/>
      <c r="F178" s="1"/>
    </row>
    <row r="179" spans="4:6" x14ac:dyDescent="0.35">
      <c r="D179" s="1"/>
      <c r="E179" s="1"/>
      <c r="F179" s="1"/>
    </row>
    <row r="180" spans="4:6" x14ac:dyDescent="0.35">
      <c r="D180" s="1"/>
      <c r="E180" s="1"/>
      <c r="F180" s="1"/>
    </row>
    <row r="181" spans="4:6" x14ac:dyDescent="0.35">
      <c r="D181" s="1"/>
      <c r="E181" s="1"/>
      <c r="F181" s="1"/>
    </row>
    <row r="182" spans="4:6" x14ac:dyDescent="0.35">
      <c r="D182" s="1"/>
      <c r="E182" s="1"/>
      <c r="F182" s="1"/>
    </row>
    <row r="183" spans="4:6" x14ac:dyDescent="0.35">
      <c r="D183" s="1"/>
      <c r="E183" s="1"/>
      <c r="F183" s="1"/>
    </row>
    <row r="184" spans="4:6" x14ac:dyDescent="0.35">
      <c r="D184" s="1"/>
      <c r="E184" s="1"/>
      <c r="F184" s="1"/>
    </row>
    <row r="185" spans="4:6" x14ac:dyDescent="0.35">
      <c r="D185" s="1"/>
      <c r="E185" s="1"/>
      <c r="F185" s="1"/>
    </row>
    <row r="186" spans="4:6" x14ac:dyDescent="0.35">
      <c r="D186" s="1"/>
      <c r="E186" s="1"/>
      <c r="F186" s="1"/>
    </row>
    <row r="187" spans="4:6" x14ac:dyDescent="0.35">
      <c r="D187" s="1"/>
      <c r="E187" s="1"/>
      <c r="F187" s="1"/>
    </row>
    <row r="188" spans="4:6" x14ac:dyDescent="0.35">
      <c r="D188" s="1"/>
      <c r="E188" s="1"/>
      <c r="F188" s="1"/>
    </row>
    <row r="189" spans="4:6" x14ac:dyDescent="0.35">
      <c r="D189" s="1"/>
      <c r="E189" s="1"/>
      <c r="F189" s="1"/>
    </row>
    <row r="190" spans="4:6" x14ac:dyDescent="0.35">
      <c r="D190" s="1"/>
      <c r="E190" s="1"/>
      <c r="F190" s="1"/>
    </row>
    <row r="191" spans="4:6" x14ac:dyDescent="0.35">
      <c r="D191" s="1"/>
      <c r="E191" s="1"/>
      <c r="F191" s="1"/>
    </row>
    <row r="192" spans="4:6" x14ac:dyDescent="0.35">
      <c r="D192" s="1"/>
      <c r="E192" s="1"/>
      <c r="F192" s="1"/>
    </row>
    <row r="193" spans="4:6" x14ac:dyDescent="0.35">
      <c r="D193" s="1"/>
      <c r="E193" s="1"/>
      <c r="F193" s="1"/>
    </row>
    <row r="194" spans="4:6" x14ac:dyDescent="0.35">
      <c r="D194" s="1"/>
      <c r="E194" s="1"/>
      <c r="F194" s="1"/>
    </row>
    <row r="195" spans="4:6" x14ac:dyDescent="0.35">
      <c r="D195" s="1"/>
      <c r="E195" s="1"/>
      <c r="F195" s="1"/>
    </row>
    <row r="196" spans="4:6" x14ac:dyDescent="0.35">
      <c r="D196" s="1"/>
      <c r="E196" s="1"/>
      <c r="F196" s="1"/>
    </row>
    <row r="197" spans="4:6" x14ac:dyDescent="0.35">
      <c r="D197" s="1"/>
      <c r="E197" s="1"/>
      <c r="F197" s="1"/>
    </row>
    <row r="198" spans="4:6" x14ac:dyDescent="0.35">
      <c r="D198" s="1"/>
      <c r="E198" s="1"/>
      <c r="F198" s="1"/>
    </row>
    <row r="199" spans="4:6" x14ac:dyDescent="0.35">
      <c r="D199" s="1"/>
      <c r="E199" s="1"/>
      <c r="F199" s="1"/>
    </row>
    <row r="200" spans="4:6" x14ac:dyDescent="0.35">
      <c r="D200" s="1"/>
      <c r="E200" s="1"/>
      <c r="F200" s="1"/>
    </row>
    <row r="201" spans="4:6" x14ac:dyDescent="0.35">
      <c r="D201" s="1"/>
      <c r="E201" s="1"/>
      <c r="F201" s="1"/>
    </row>
    <row r="202" spans="4:6" x14ac:dyDescent="0.35">
      <c r="D202" s="1"/>
      <c r="E202" s="1"/>
      <c r="F202" s="1"/>
    </row>
    <row r="203" spans="4:6" x14ac:dyDescent="0.35">
      <c r="D203" s="1"/>
      <c r="E203" s="1"/>
      <c r="F203" s="1"/>
    </row>
  </sheetData>
  <mergeCells count="1">
    <mergeCell ref="C3:G3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7CA1-240F-48A9-A65C-29F332A81418}">
  <dimension ref="A1:M1048530"/>
  <sheetViews>
    <sheetView zoomScale="57" workbookViewId="0">
      <selection activeCell="P11" sqref="P11"/>
    </sheetView>
  </sheetViews>
  <sheetFormatPr baseColWidth="10" defaultColWidth="11.453125" defaultRowHeight="12.5" x14ac:dyDescent="0.25"/>
  <cols>
    <col min="1" max="1" width="26.1796875" style="2" customWidth="1"/>
    <col min="2" max="3" width="10.453125" style="2" customWidth="1"/>
    <col min="4" max="4" width="11.54296875" style="2" bestFit="1" customWidth="1"/>
    <col min="5" max="5" width="11.36328125" style="2" bestFit="1" customWidth="1"/>
    <col min="6" max="6" width="10.453125" style="2" customWidth="1"/>
    <col min="7" max="7" width="12.08984375" style="2" customWidth="1"/>
    <col min="8" max="8" width="10.90625" style="2" hidden="1" customWidth="1"/>
    <col min="9" max="9" width="13" style="2" hidden="1" customWidth="1"/>
    <col min="10" max="10" width="11.453125" style="8" hidden="1" customWidth="1"/>
    <col min="11" max="11" width="11.54296875" style="2" bestFit="1" customWidth="1"/>
    <col min="12" max="16384" width="11.453125" style="2"/>
  </cols>
  <sheetData>
    <row r="1" spans="1:13" ht="13" x14ac:dyDescent="0.3">
      <c r="A1" s="106" t="s">
        <v>17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3" ht="13" x14ac:dyDescent="0.3">
      <c r="A2" s="107" t="str">
        <f>+Transacciones!A5</f>
        <v>AGENCIAS LOS MEJORES, S.A.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3" ht="13" x14ac:dyDescent="0.3">
      <c r="A3" s="107" t="s">
        <v>35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</row>
    <row r="4" spans="1:13" ht="13" x14ac:dyDescent="0.3">
      <c r="A4" s="108" t="s">
        <v>36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3" x14ac:dyDescent="0.25">
      <c r="A5" s="21" t="s">
        <v>18</v>
      </c>
      <c r="B5" s="21"/>
      <c r="C5" s="21"/>
      <c r="D5" s="22"/>
      <c r="E5" s="22"/>
      <c r="F5" s="22"/>
      <c r="G5" s="22"/>
      <c r="H5" s="21"/>
      <c r="I5" s="21"/>
      <c r="J5" s="23"/>
      <c r="K5" s="24">
        <v>11909.69</v>
      </c>
    </row>
    <row r="6" spans="1:13" x14ac:dyDescent="0.25">
      <c r="A6" s="25"/>
      <c r="B6" s="21"/>
      <c r="C6" s="21"/>
      <c r="D6" s="22"/>
      <c r="E6" s="22"/>
      <c r="F6" s="22"/>
      <c r="G6" s="22"/>
      <c r="H6" s="21"/>
      <c r="I6" s="21"/>
      <c r="J6" s="26"/>
      <c r="K6" s="27"/>
    </row>
    <row r="7" spans="1:13" x14ac:dyDescent="0.25">
      <c r="A7" s="28" t="s">
        <v>19</v>
      </c>
      <c r="B7" s="28"/>
      <c r="C7" s="28"/>
      <c r="D7" s="29"/>
      <c r="E7" s="29"/>
      <c r="F7" s="22"/>
      <c r="G7" s="30"/>
      <c r="H7" s="21"/>
      <c r="I7" s="21"/>
      <c r="J7" s="31"/>
      <c r="K7" s="32"/>
      <c r="M7" s="3"/>
    </row>
    <row r="8" spans="1:13" ht="14.5" x14ac:dyDescent="0.35">
      <c r="A8" s="33"/>
      <c r="B8" s="4"/>
      <c r="C8" s="34"/>
      <c r="D8" s="6"/>
      <c r="E8" s="26"/>
      <c r="F8" s="25"/>
      <c r="G8" s="26"/>
      <c r="H8" s="35"/>
      <c r="I8" s="25"/>
      <c r="J8" s="26"/>
      <c r="K8" s="32">
        <f>+D8+G8</f>
        <v>0</v>
      </c>
    </row>
    <row r="9" spans="1:13" ht="14.5" x14ac:dyDescent="0.35">
      <c r="A9" s="4"/>
      <c r="B9" s="35"/>
      <c r="C9" s="26"/>
      <c r="D9" s="4"/>
      <c r="E9" s="35"/>
      <c r="F9" s="36"/>
      <c r="G9" s="37"/>
      <c r="H9" s="25"/>
      <c r="I9" s="25"/>
      <c r="J9" s="38"/>
      <c r="K9" s="32">
        <f>+D9+G9+J9</f>
        <v>0</v>
      </c>
    </row>
    <row r="10" spans="1:13" ht="14.5" x14ac:dyDescent="0.35">
      <c r="A10" s="39"/>
      <c r="B10" s="35"/>
      <c r="C10" s="26"/>
      <c r="D10" s="4"/>
      <c r="E10" s="4"/>
      <c r="F10" s="4"/>
      <c r="G10" s="6"/>
      <c r="H10" s="25"/>
      <c r="I10" s="40"/>
      <c r="J10" s="38"/>
      <c r="K10" s="32">
        <f>+D10+G10+J10</f>
        <v>0</v>
      </c>
    </row>
    <row r="11" spans="1:13" ht="14.5" x14ac:dyDescent="0.35">
      <c r="A11" s="41"/>
      <c r="B11" s="35"/>
      <c r="C11" s="26"/>
      <c r="D11" s="26"/>
      <c r="E11" s="4"/>
      <c r="F11" s="36"/>
      <c r="G11" s="4"/>
      <c r="H11" s="25"/>
      <c r="I11" s="40"/>
      <c r="J11" s="38"/>
      <c r="K11" s="32">
        <f>+D11+G11+J11</f>
        <v>0</v>
      </c>
    </row>
    <row r="12" spans="1:13" hidden="1" x14ac:dyDescent="0.25">
      <c r="A12" s="42"/>
      <c r="B12" s="35"/>
      <c r="C12" s="26"/>
      <c r="D12" s="26"/>
      <c r="E12" s="25"/>
      <c r="F12" s="36"/>
      <c r="G12" s="37"/>
      <c r="H12" s="36"/>
      <c r="I12" s="43"/>
      <c r="J12" s="38"/>
      <c r="K12" s="32">
        <f>+D12</f>
        <v>0</v>
      </c>
    </row>
    <row r="13" spans="1:13" hidden="1" x14ac:dyDescent="0.25">
      <c r="A13" s="41"/>
      <c r="B13" s="25"/>
      <c r="C13" s="43"/>
      <c r="D13" s="26"/>
      <c r="E13" s="36"/>
      <c r="F13" s="36"/>
      <c r="G13" s="37"/>
      <c r="H13" s="36"/>
      <c r="I13" s="43"/>
      <c r="J13" s="38"/>
      <c r="K13" s="32">
        <f>SUM(C13:J13)</f>
        <v>0</v>
      </c>
      <c r="M13" s="3"/>
    </row>
    <row r="14" spans="1:13" hidden="1" x14ac:dyDescent="0.25">
      <c r="A14" s="39"/>
      <c r="B14" s="25"/>
      <c r="C14" s="36"/>
      <c r="D14" s="36"/>
      <c r="E14" s="29"/>
      <c r="F14" s="29"/>
      <c r="G14" s="38"/>
      <c r="H14" s="36"/>
      <c r="I14" s="43"/>
      <c r="J14" s="38"/>
      <c r="K14" s="32">
        <f>SUM(C14:J14)</f>
        <v>0</v>
      </c>
    </row>
    <row r="15" spans="1:13" x14ac:dyDescent="0.25">
      <c r="A15" s="39" t="s">
        <v>20</v>
      </c>
      <c r="B15" s="44" t="s">
        <v>21</v>
      </c>
      <c r="C15" s="45" t="s">
        <v>22</v>
      </c>
      <c r="D15" s="45" t="s">
        <v>23</v>
      </c>
      <c r="E15" s="45" t="s">
        <v>21</v>
      </c>
      <c r="F15" s="45" t="s">
        <v>22</v>
      </c>
      <c r="G15" s="46" t="s">
        <v>23</v>
      </c>
      <c r="H15" s="45" t="s">
        <v>21</v>
      </c>
      <c r="I15" s="45" t="s">
        <v>22</v>
      </c>
      <c r="J15" s="46" t="s">
        <v>23</v>
      </c>
      <c r="K15" s="32">
        <f>SUM(C15:J15)</f>
        <v>0</v>
      </c>
    </row>
    <row r="16" spans="1:13" hidden="1" x14ac:dyDescent="0.25">
      <c r="A16" s="47"/>
      <c r="B16" s="35">
        <v>4</v>
      </c>
      <c r="C16" s="25" t="s">
        <v>39</v>
      </c>
      <c r="D16" s="48">
        <v>564.65</v>
      </c>
      <c r="E16" s="49"/>
      <c r="F16" s="49"/>
      <c r="G16" s="49"/>
      <c r="H16" s="40"/>
      <c r="I16" s="50"/>
      <c r="J16" s="51"/>
      <c r="K16" s="40">
        <f>+D16+J16</f>
        <v>564.65</v>
      </c>
    </row>
    <row r="17" spans="1:13" hidden="1" x14ac:dyDescent="0.25">
      <c r="A17" s="47"/>
      <c r="B17" s="35">
        <v>14</v>
      </c>
      <c r="C17" s="25" t="s">
        <v>66</v>
      </c>
      <c r="D17" s="52">
        <v>500</v>
      </c>
      <c r="E17" s="53"/>
      <c r="F17" s="53"/>
      <c r="G17" s="53"/>
      <c r="H17" s="40"/>
      <c r="I17" s="50"/>
      <c r="J17" s="51"/>
      <c r="K17" s="40">
        <f>+D17+J17</f>
        <v>500</v>
      </c>
    </row>
    <row r="18" spans="1:13" hidden="1" x14ac:dyDescent="0.25">
      <c r="A18" s="47"/>
      <c r="B18" s="35">
        <v>1</v>
      </c>
      <c r="C18" s="25" t="s">
        <v>83</v>
      </c>
      <c r="D18" s="48">
        <v>3845.63</v>
      </c>
      <c r="E18" s="54"/>
      <c r="F18" s="54"/>
      <c r="G18" s="54"/>
      <c r="H18" s="25"/>
      <c r="I18" s="50"/>
      <c r="J18" s="51"/>
      <c r="K18" s="40">
        <f>+D18+J18</f>
        <v>3845.63</v>
      </c>
    </row>
    <row r="19" spans="1:13" hidden="1" x14ac:dyDescent="0.25">
      <c r="A19" s="47"/>
      <c r="B19" s="35"/>
      <c r="C19" s="25"/>
      <c r="D19" s="53"/>
      <c r="E19" s="53"/>
      <c r="F19" s="53"/>
      <c r="G19" s="53"/>
      <c r="H19" s="40"/>
      <c r="I19" s="50"/>
      <c r="J19" s="51"/>
      <c r="K19" s="40">
        <f>+D19</f>
        <v>0</v>
      </c>
    </row>
    <row r="20" spans="1:13" hidden="1" x14ac:dyDescent="0.25">
      <c r="A20" s="47"/>
      <c r="B20" s="35"/>
      <c r="C20" s="25"/>
      <c r="D20" s="55"/>
      <c r="E20" s="55"/>
      <c r="F20" s="55"/>
      <c r="G20" s="55"/>
      <c r="H20" s="40"/>
      <c r="I20" s="50"/>
      <c r="J20" s="51"/>
      <c r="K20" s="40">
        <f>+D20</f>
        <v>0</v>
      </c>
    </row>
    <row r="21" spans="1:13" hidden="1" x14ac:dyDescent="0.25">
      <c r="A21" s="25"/>
      <c r="B21" s="35"/>
      <c r="C21" s="26"/>
      <c r="D21" s="26"/>
      <c r="E21" s="26"/>
      <c r="F21" s="26"/>
      <c r="G21" s="26"/>
      <c r="H21" s="35"/>
      <c r="I21" s="50"/>
      <c r="J21" s="51"/>
      <c r="K21" s="40">
        <f>+D21+J21</f>
        <v>0</v>
      </c>
    </row>
    <row r="22" spans="1:13" hidden="1" x14ac:dyDescent="0.25">
      <c r="A22" s="42"/>
      <c r="B22" s="35"/>
      <c r="C22" s="25"/>
      <c r="D22" s="56"/>
      <c r="E22" s="56"/>
      <c r="F22" s="56"/>
      <c r="G22" s="56"/>
      <c r="H22" s="35"/>
      <c r="I22" s="42"/>
      <c r="J22" s="57"/>
      <c r="K22" s="40">
        <f>+D22+J22</f>
        <v>0</v>
      </c>
    </row>
    <row r="23" spans="1:13" hidden="1" x14ac:dyDescent="0.25">
      <c r="A23" s="47"/>
      <c r="B23" s="58"/>
      <c r="C23" s="56"/>
      <c r="D23" s="51"/>
      <c r="E23" s="56"/>
      <c r="F23" s="56"/>
      <c r="G23" s="38"/>
      <c r="H23" s="40"/>
      <c r="I23" s="50"/>
      <c r="J23" s="51"/>
      <c r="K23" s="40">
        <f>+D23+J23+G23</f>
        <v>0</v>
      </c>
    </row>
    <row r="24" spans="1:13" x14ac:dyDescent="0.25">
      <c r="A24" s="42"/>
      <c r="B24" s="58"/>
      <c r="C24" s="25"/>
      <c r="D24" s="55"/>
      <c r="E24" s="58"/>
      <c r="F24" s="57"/>
      <c r="G24" s="55"/>
      <c r="H24" s="40"/>
      <c r="I24" s="50"/>
      <c r="J24" s="51"/>
      <c r="K24" s="40">
        <f>+D24+J24+G24</f>
        <v>0</v>
      </c>
      <c r="M24" s="3"/>
    </row>
    <row r="25" spans="1:13" x14ac:dyDescent="0.25">
      <c r="A25" s="59"/>
      <c r="B25" s="35"/>
      <c r="C25" s="25"/>
      <c r="D25" s="60"/>
      <c r="E25" s="35"/>
      <c r="F25" s="25"/>
      <c r="G25" s="26"/>
      <c r="H25" s="33"/>
      <c r="I25" s="33"/>
      <c r="J25" s="25"/>
      <c r="K25" s="40">
        <f>+D25+G25+J25</f>
        <v>0</v>
      </c>
    </row>
    <row r="26" spans="1:13" ht="14.5" x14ac:dyDescent="0.35">
      <c r="A26" s="61"/>
      <c r="B26" s="62"/>
      <c r="C26" s="25"/>
      <c r="D26" s="55"/>
      <c r="E26" s="4"/>
      <c r="F26" s="4"/>
      <c r="G26" s="26"/>
      <c r="H26" s="62"/>
      <c r="I26" s="29"/>
      <c r="J26" s="51"/>
      <c r="K26" s="40">
        <f>+D26+G26+J26</f>
        <v>0</v>
      </c>
    </row>
    <row r="27" spans="1:13" x14ac:dyDescent="0.25">
      <c r="A27" s="61"/>
      <c r="B27" s="62"/>
      <c r="C27" s="25"/>
      <c r="D27" s="55"/>
      <c r="E27" s="62"/>
      <c r="F27" s="33"/>
      <c r="G27" s="25"/>
      <c r="H27" s="40"/>
      <c r="I27" s="50"/>
      <c r="J27" s="51"/>
      <c r="K27" s="40">
        <f>+D27+G27+J27</f>
        <v>0</v>
      </c>
      <c r="M27" s="3"/>
    </row>
    <row r="28" spans="1:13" ht="14.5" x14ac:dyDescent="0.35">
      <c r="A28" s="61"/>
      <c r="B28" s="25"/>
      <c r="C28" s="25"/>
      <c r="D28" s="57"/>
      <c r="E28" s="4"/>
      <c r="F28" s="4"/>
      <c r="G28" s="26"/>
      <c r="H28" s="40"/>
      <c r="I28" s="50"/>
      <c r="J28" s="51"/>
      <c r="K28" s="40">
        <f>+D28+G28+J28</f>
        <v>0</v>
      </c>
      <c r="M28" s="3"/>
    </row>
    <row r="29" spans="1:13" x14ac:dyDescent="0.25">
      <c r="A29" s="61"/>
      <c r="B29" s="25"/>
      <c r="C29" s="25"/>
      <c r="D29" s="26"/>
      <c r="E29" s="62"/>
      <c r="F29" s="33"/>
      <c r="G29" s="25"/>
      <c r="H29" s="25"/>
      <c r="I29" s="25"/>
      <c r="J29" s="26"/>
      <c r="K29" s="40">
        <f>+D29+G29</f>
        <v>0</v>
      </c>
    </row>
    <row r="30" spans="1:13" ht="13.5" customHeight="1" x14ac:dyDescent="0.3">
      <c r="A30" s="28" t="s">
        <v>24</v>
      </c>
      <c r="B30" s="63"/>
      <c r="C30" s="40"/>
      <c r="D30" s="40"/>
      <c r="E30" s="40"/>
      <c r="F30" s="40"/>
      <c r="G30" s="40"/>
      <c r="H30" s="28"/>
      <c r="I30" s="28"/>
      <c r="J30" s="64"/>
      <c r="K30" s="65">
        <f>SUM(K16:K29)</f>
        <v>4910.2800000000007</v>
      </c>
    </row>
    <row r="31" spans="1:13" ht="13.5" hidden="1" customHeight="1" x14ac:dyDescent="0.3">
      <c r="A31" s="28"/>
      <c r="B31" s="63"/>
      <c r="C31" s="40"/>
      <c r="D31" s="40"/>
      <c r="E31" s="40"/>
      <c r="F31" s="40"/>
      <c r="G31" s="40"/>
      <c r="H31" s="28"/>
      <c r="I31" s="28"/>
      <c r="J31" s="64"/>
      <c r="K31" s="65"/>
    </row>
    <row r="32" spans="1:13" x14ac:dyDescent="0.25">
      <c r="A32" s="21"/>
      <c r="B32" s="27"/>
      <c r="C32" s="28"/>
      <c r="D32" s="29"/>
      <c r="E32" s="29"/>
      <c r="F32" s="29"/>
      <c r="G32" s="29" t="s">
        <v>25</v>
      </c>
      <c r="H32" s="66"/>
      <c r="I32" s="66"/>
      <c r="J32" s="67"/>
      <c r="K32" s="66"/>
    </row>
    <row r="33" spans="1:11" x14ac:dyDescent="0.25">
      <c r="A33" s="68" t="s">
        <v>26</v>
      </c>
      <c r="B33" s="69"/>
      <c r="C33" s="68"/>
      <c r="D33" s="70"/>
      <c r="E33" s="70"/>
      <c r="F33" s="70"/>
      <c r="G33" s="70"/>
      <c r="H33" s="71"/>
      <c r="I33" s="71"/>
      <c r="J33" s="72"/>
      <c r="K33" s="73">
        <f>+K5+K8-K30+K12+K13+K14+K9+K10+K11</f>
        <v>6999.41</v>
      </c>
    </row>
    <row r="34" spans="1:11" ht="11.25" customHeight="1" x14ac:dyDescent="0.25">
      <c r="A34" s="28"/>
      <c r="B34" s="28"/>
      <c r="C34" s="28"/>
      <c r="D34" s="29"/>
      <c r="E34" s="29"/>
      <c r="F34" s="29"/>
      <c r="G34" s="29"/>
      <c r="H34" s="39"/>
      <c r="I34" s="39"/>
      <c r="J34" s="74"/>
      <c r="K34" s="75"/>
    </row>
    <row r="35" spans="1:11" ht="14.25" customHeight="1" x14ac:dyDescent="0.25">
      <c r="A35" s="39"/>
      <c r="B35" s="39"/>
      <c r="C35" s="39"/>
      <c r="D35" s="50"/>
      <c r="E35" s="50"/>
      <c r="F35" s="50"/>
      <c r="G35" s="50"/>
      <c r="H35" s="28"/>
      <c r="I35" s="28"/>
      <c r="J35" s="64"/>
      <c r="K35" s="25"/>
    </row>
    <row r="36" spans="1:11" x14ac:dyDescent="0.25">
      <c r="A36" s="21" t="s">
        <v>27</v>
      </c>
      <c r="B36" s="21"/>
      <c r="C36" s="21"/>
      <c r="D36" s="22"/>
      <c r="E36" s="22"/>
      <c r="F36" s="22"/>
      <c r="G36" s="22"/>
      <c r="H36" s="21"/>
      <c r="I36" s="21"/>
      <c r="J36" s="23"/>
      <c r="K36" s="76">
        <v>14253.67</v>
      </c>
    </row>
    <row r="37" spans="1:11" ht="14.5" x14ac:dyDescent="0.35">
      <c r="A37" s="21" t="s">
        <v>28</v>
      </c>
      <c r="B37" s="21"/>
      <c r="C37" s="1"/>
      <c r="D37" s="22"/>
      <c r="E37" s="22"/>
      <c r="F37" s="22"/>
      <c r="G37" s="22"/>
      <c r="H37" s="24" t="s">
        <v>21</v>
      </c>
      <c r="I37" s="24"/>
      <c r="J37" s="77" t="s">
        <v>29</v>
      </c>
      <c r="K37" s="78"/>
    </row>
    <row r="38" spans="1:11" ht="14.5" x14ac:dyDescent="0.35">
      <c r="A38" s="79"/>
      <c r="B38" s="79"/>
      <c r="C38" s="1"/>
      <c r="D38" s="32"/>
      <c r="E38" s="32"/>
      <c r="F38" s="32"/>
      <c r="G38" s="32"/>
      <c r="H38" s="78">
        <v>30</v>
      </c>
      <c r="I38" s="78"/>
      <c r="J38" s="80">
        <v>12899.63</v>
      </c>
      <c r="K38" s="78"/>
    </row>
    <row r="39" spans="1:11" x14ac:dyDescent="0.25">
      <c r="A39" s="81"/>
      <c r="B39" s="82"/>
      <c r="C39" s="78"/>
      <c r="D39" s="83"/>
      <c r="E39" s="83"/>
      <c r="F39" s="83"/>
      <c r="G39" s="83"/>
      <c r="H39" s="84">
        <v>30</v>
      </c>
      <c r="I39" s="84"/>
      <c r="J39" s="31">
        <v>6466.67</v>
      </c>
      <c r="K39" s="85"/>
    </row>
    <row r="40" spans="1:11" x14ac:dyDescent="0.25">
      <c r="A40" s="84"/>
      <c r="B40" s="84"/>
      <c r="C40" s="78">
        <f>SUM(C37:C39)</f>
        <v>0</v>
      </c>
      <c r="D40" s="83"/>
      <c r="E40" s="83"/>
      <c r="F40" s="83"/>
      <c r="G40" s="83"/>
      <c r="H40" s="21"/>
      <c r="I40" s="21"/>
      <c r="J40" s="23"/>
      <c r="K40" s="86">
        <v>23211.93</v>
      </c>
    </row>
    <row r="41" spans="1:11" x14ac:dyDescent="0.25">
      <c r="A41" s="28" t="s">
        <v>30</v>
      </c>
      <c r="B41" s="28"/>
      <c r="C41" s="21"/>
      <c r="D41" s="22"/>
      <c r="E41" s="22"/>
      <c r="F41" s="22"/>
      <c r="G41" s="22"/>
      <c r="H41" s="25"/>
      <c r="I41" s="25"/>
      <c r="J41" s="26"/>
      <c r="K41" s="87"/>
    </row>
    <row r="42" spans="1:11" x14ac:dyDescent="0.25">
      <c r="A42" s="41"/>
      <c r="B42" s="88" t="s">
        <v>21</v>
      </c>
      <c r="C42" s="89" t="s">
        <v>31</v>
      </c>
      <c r="D42" s="90" t="s">
        <v>23</v>
      </c>
      <c r="E42" s="88" t="s">
        <v>21</v>
      </c>
      <c r="F42" s="89" t="s">
        <v>31</v>
      </c>
      <c r="G42" s="90" t="s">
        <v>23</v>
      </c>
      <c r="H42" s="88" t="s">
        <v>21</v>
      </c>
      <c r="I42" s="89" t="s">
        <v>31</v>
      </c>
      <c r="J42" s="90" t="s">
        <v>23</v>
      </c>
      <c r="K42" s="87"/>
    </row>
    <row r="43" spans="1:11" x14ac:dyDescent="0.25">
      <c r="A43" s="39"/>
      <c r="B43" s="25">
        <v>2</v>
      </c>
      <c r="C43" s="33">
        <v>15443</v>
      </c>
      <c r="D43" s="26">
        <v>12448.89</v>
      </c>
      <c r="E43" s="35"/>
      <c r="F43" s="25"/>
      <c r="G43" s="26"/>
      <c r="H43" s="35"/>
      <c r="I43" s="25"/>
      <c r="J43" s="26"/>
      <c r="K43" s="87"/>
    </row>
    <row r="44" spans="1:11" x14ac:dyDescent="0.25">
      <c r="A44" s="39"/>
      <c r="B44" s="25">
        <v>13</v>
      </c>
      <c r="C44" s="25">
        <v>15444</v>
      </c>
      <c r="D44" s="26">
        <v>7894.32</v>
      </c>
      <c r="E44" s="35"/>
      <c r="F44" s="25"/>
      <c r="G44" s="26"/>
      <c r="H44" s="35"/>
      <c r="I44" s="25"/>
      <c r="J44" s="26"/>
      <c r="K44" s="87"/>
    </row>
    <row r="45" spans="1:11" x14ac:dyDescent="0.25">
      <c r="A45" s="39"/>
      <c r="B45" s="25">
        <v>13</v>
      </c>
      <c r="C45" s="25">
        <v>15445</v>
      </c>
      <c r="D45" s="26">
        <v>4477.6499999999996</v>
      </c>
      <c r="E45" s="35"/>
      <c r="F45" s="25"/>
      <c r="G45" s="26"/>
      <c r="H45" s="35"/>
      <c r="I45" s="25"/>
      <c r="J45" s="26"/>
      <c r="K45" s="87"/>
    </row>
    <row r="46" spans="1:11" x14ac:dyDescent="0.25">
      <c r="A46" s="39"/>
      <c r="B46" s="25">
        <v>20</v>
      </c>
      <c r="C46" s="25">
        <v>15447</v>
      </c>
      <c r="D46" s="26">
        <v>5645.33</v>
      </c>
      <c r="E46" s="35"/>
      <c r="F46" s="25"/>
      <c r="G46" s="26"/>
      <c r="H46" s="35"/>
      <c r="I46" s="25"/>
      <c r="J46" s="26"/>
      <c r="K46" s="87"/>
    </row>
    <row r="47" spans="1:11" x14ac:dyDescent="0.25">
      <c r="A47" s="25"/>
      <c r="B47" s="25"/>
      <c r="C47" s="25"/>
      <c r="D47" s="25"/>
      <c r="E47" s="35"/>
      <c r="F47" s="25"/>
      <c r="G47" s="26"/>
      <c r="H47" s="35"/>
      <c r="I47" s="25"/>
      <c r="J47" s="26"/>
      <c r="K47" s="87"/>
    </row>
    <row r="48" spans="1:11" x14ac:dyDescent="0.25">
      <c r="A48" s="25"/>
      <c r="B48" s="25"/>
      <c r="C48" s="25"/>
      <c r="D48" s="25"/>
      <c r="E48" s="35"/>
      <c r="F48" s="25"/>
      <c r="G48" s="26"/>
      <c r="H48" s="35"/>
      <c r="I48" s="25"/>
      <c r="J48" s="26"/>
      <c r="K48" s="25"/>
    </row>
    <row r="49" spans="1:11" hidden="1" x14ac:dyDescent="0.25">
      <c r="A49" s="25"/>
      <c r="B49" s="25"/>
      <c r="C49" s="25"/>
      <c r="D49" s="25"/>
      <c r="E49" s="35"/>
      <c r="F49" s="25"/>
      <c r="G49" s="26"/>
      <c r="H49" s="35"/>
      <c r="I49" s="25"/>
      <c r="J49" s="26"/>
      <c r="K49" s="25"/>
    </row>
    <row r="50" spans="1:11" hidden="1" x14ac:dyDescent="0.25">
      <c r="A50" s="25"/>
      <c r="B50" s="25"/>
      <c r="C50" s="25"/>
      <c r="D50" s="55"/>
      <c r="E50" s="35"/>
      <c r="F50" s="25"/>
      <c r="G50" s="26"/>
      <c r="H50" s="35"/>
      <c r="I50" s="25"/>
      <c r="J50" s="26"/>
      <c r="K50" s="25"/>
    </row>
    <row r="51" spans="1:11" hidden="1" x14ac:dyDescent="0.25">
      <c r="A51" s="25"/>
      <c r="B51" s="33"/>
      <c r="C51" s="33"/>
      <c r="D51" s="33"/>
      <c r="E51" s="91"/>
      <c r="F51" s="92"/>
      <c r="G51" s="92"/>
      <c r="H51" s="91"/>
      <c r="I51" s="92"/>
      <c r="J51" s="92"/>
      <c r="K51" s="25"/>
    </row>
    <row r="52" spans="1:11" ht="13" x14ac:dyDescent="0.3">
      <c r="A52" s="66" t="s">
        <v>32</v>
      </c>
      <c r="B52" s="35"/>
      <c r="C52" s="25"/>
      <c r="D52" s="93">
        <f>SUM(D43:D50)</f>
        <v>30466.190000000002</v>
      </c>
      <c r="E52" s="35"/>
      <c r="F52" s="94"/>
      <c r="G52" s="93">
        <f>SUM(G43:G51)</f>
        <v>0</v>
      </c>
      <c r="H52" s="25"/>
      <c r="I52" s="25"/>
      <c r="J52" s="93">
        <f>SUM(J43:J51)</f>
        <v>0</v>
      </c>
      <c r="K52" s="95">
        <f>+D52+J52+G52</f>
        <v>30466.190000000002</v>
      </c>
    </row>
    <row r="53" spans="1:11" x14ac:dyDescent="0.25">
      <c r="A53" s="25"/>
      <c r="B53" s="25"/>
      <c r="C53" s="25"/>
      <c r="D53" s="25"/>
      <c r="E53" s="25"/>
      <c r="F53" s="96"/>
      <c r="G53" s="25"/>
      <c r="H53" s="97"/>
      <c r="I53" s="97"/>
      <c r="J53" s="64"/>
      <c r="K53" s="87"/>
    </row>
    <row r="54" spans="1:11" x14ac:dyDescent="0.25">
      <c r="A54" s="86"/>
      <c r="B54" s="86"/>
      <c r="C54" s="25"/>
      <c r="D54" s="86"/>
      <c r="E54" s="86"/>
      <c r="F54" s="86"/>
      <c r="G54" s="86"/>
      <c r="H54" s="25"/>
      <c r="I54" s="25"/>
      <c r="J54" s="26"/>
      <c r="K54" s="25"/>
    </row>
    <row r="55" spans="1:11" x14ac:dyDescent="0.25">
      <c r="A55" s="86" t="s">
        <v>33</v>
      </c>
      <c r="B55" s="87"/>
      <c r="C55" s="25"/>
      <c r="D55" s="98"/>
      <c r="E55" s="98"/>
      <c r="F55" s="98"/>
      <c r="G55" s="98"/>
      <c r="H55" s="25"/>
      <c r="I55" s="25"/>
      <c r="J55" s="26"/>
      <c r="K55" s="26">
        <f>+K36+K40-K52</f>
        <v>6999.4099999999962</v>
      </c>
    </row>
    <row r="56" spans="1:11" x14ac:dyDescent="0.25">
      <c r="A56" s="99"/>
      <c r="B56" s="66"/>
      <c r="C56" s="25"/>
      <c r="D56" s="83"/>
      <c r="E56" s="83"/>
      <c r="F56" s="83"/>
      <c r="G56" s="83"/>
      <c r="H56" s="25"/>
      <c r="I56" s="25"/>
      <c r="J56" s="26"/>
      <c r="K56" s="25"/>
    </row>
    <row r="57" spans="1:11" x14ac:dyDescent="0.25">
      <c r="A57" s="100" t="s">
        <v>34</v>
      </c>
      <c r="B57" s="101"/>
      <c r="C57" s="101"/>
      <c r="D57" s="101"/>
      <c r="E57" s="101"/>
      <c r="F57" s="101"/>
      <c r="G57" s="101"/>
      <c r="H57" s="101"/>
      <c r="I57" s="101"/>
      <c r="J57" s="102"/>
      <c r="K57" s="103">
        <f>+K33-K55</f>
        <v>0</v>
      </c>
    </row>
    <row r="58" spans="1:11" x14ac:dyDescent="0.25">
      <c r="A58" s="7"/>
      <c r="K58" s="9"/>
    </row>
    <row r="1048527" spans="8:8" x14ac:dyDescent="0.25">
      <c r="H1048527" s="5"/>
    </row>
    <row r="1048530" spans="2:2" x14ac:dyDescent="0.25">
      <c r="B1048530" s="10"/>
    </row>
  </sheetData>
  <mergeCells count="4">
    <mergeCell ref="A1:K1"/>
    <mergeCell ref="A2:K2"/>
    <mergeCell ref="A3:K3"/>
    <mergeCell ref="A4:K4"/>
  </mergeCells>
  <pageMargins left="0" right="0" top="0.74803149606299213" bottom="0.74803149606299213" header="0.31496062992125984" footer="0.31496062992125984"/>
  <pageSetup paperSize="120" orientation="portrait" horizontalDpi="4294967293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7A46-0C8A-4D0B-A4D9-E7B0D6FFF622}">
  <dimension ref="A1:I28"/>
  <sheetViews>
    <sheetView zoomScale="73" zoomScaleNormal="130" workbookViewId="0">
      <selection activeCell="H15" sqref="H15"/>
    </sheetView>
  </sheetViews>
  <sheetFormatPr baseColWidth="10" defaultRowHeight="14.5" x14ac:dyDescent="0.35"/>
  <sheetData>
    <row r="1" spans="1:6" x14ac:dyDescent="0.35">
      <c r="A1" t="s">
        <v>8</v>
      </c>
    </row>
    <row r="2" spans="1:6" x14ac:dyDescent="0.35">
      <c r="A2" t="str">
        <f>+[1]Transacciones!A1</f>
        <v>AGENCIAS LOS MEJORES, S.A.</v>
      </c>
    </row>
    <row r="4" spans="1:6" x14ac:dyDescent="0.35">
      <c r="A4" t="s">
        <v>1</v>
      </c>
      <c r="B4" t="s">
        <v>2</v>
      </c>
      <c r="C4" t="s">
        <v>11</v>
      </c>
      <c r="D4" t="s">
        <v>9</v>
      </c>
      <c r="E4" t="s">
        <v>6</v>
      </c>
      <c r="F4" t="s">
        <v>7</v>
      </c>
    </row>
    <row r="5" spans="1:6" x14ac:dyDescent="0.35">
      <c r="A5">
        <v>1</v>
      </c>
      <c r="B5" t="s">
        <v>10</v>
      </c>
      <c r="D5" s="1"/>
      <c r="E5" s="1"/>
      <c r="F5" s="1">
        <f>+[1]Transacciones!C4</f>
        <v>22222.22</v>
      </c>
    </row>
    <row r="6" spans="1:6" x14ac:dyDescent="0.35">
      <c r="A6">
        <v>1</v>
      </c>
      <c r="B6" t="s">
        <v>15</v>
      </c>
      <c r="C6" t="s">
        <v>13</v>
      </c>
      <c r="D6" s="1"/>
      <c r="E6" s="1">
        <v>3845.63</v>
      </c>
      <c r="F6" s="1">
        <f>+F5-D6+E6</f>
        <v>26067.850000000002</v>
      </c>
    </row>
    <row r="7" spans="1:6" x14ac:dyDescent="0.35">
      <c r="A7">
        <v>1</v>
      </c>
      <c r="B7" t="s">
        <v>63</v>
      </c>
      <c r="C7" t="s">
        <v>13</v>
      </c>
      <c r="D7" s="1">
        <v>8465.5300000000007</v>
      </c>
      <c r="E7" s="1"/>
      <c r="F7" s="1">
        <f>+F6-D7+E7</f>
        <v>17602.32</v>
      </c>
    </row>
    <row r="8" spans="1:6" x14ac:dyDescent="0.35">
      <c r="A8">
        <v>1</v>
      </c>
      <c r="B8" t="s">
        <v>16</v>
      </c>
      <c r="D8" s="1"/>
      <c r="E8" s="1">
        <v>11465.65</v>
      </c>
      <c r="F8" s="1">
        <f t="shared" ref="F8:F20" si="0">+F7-D8+E8</f>
        <v>29067.97</v>
      </c>
    </row>
    <row r="9" spans="1:6" x14ac:dyDescent="0.35">
      <c r="A9">
        <v>4</v>
      </c>
      <c r="B9" t="s">
        <v>39</v>
      </c>
      <c r="D9" s="1">
        <v>564.65</v>
      </c>
      <c r="E9" s="1"/>
      <c r="F9" s="1">
        <f t="shared" si="0"/>
        <v>28503.32</v>
      </c>
    </row>
    <row r="10" spans="1:6" x14ac:dyDescent="0.35">
      <c r="A10">
        <v>4</v>
      </c>
      <c r="B10" t="s">
        <v>40</v>
      </c>
      <c r="D10" s="1">
        <v>7348.88</v>
      </c>
      <c r="E10" s="1"/>
      <c r="F10" s="1">
        <f t="shared" si="0"/>
        <v>21154.44</v>
      </c>
    </row>
    <row r="11" spans="1:6" x14ac:dyDescent="0.35">
      <c r="A11">
        <v>6</v>
      </c>
      <c r="B11" t="s">
        <v>16</v>
      </c>
      <c r="D11" s="1"/>
      <c r="E11" s="1">
        <v>16466.580000000002</v>
      </c>
      <c r="F11" s="1">
        <f t="shared" si="0"/>
        <v>37621.020000000004</v>
      </c>
    </row>
    <row r="12" spans="1:6" x14ac:dyDescent="0.35">
      <c r="A12">
        <v>6</v>
      </c>
      <c r="B12" t="s">
        <v>64</v>
      </c>
      <c r="D12" s="1">
        <v>482.21</v>
      </c>
      <c r="E12" s="1"/>
      <c r="F12" s="1">
        <f t="shared" si="0"/>
        <v>37138.810000000005</v>
      </c>
    </row>
    <row r="13" spans="1:6" x14ac:dyDescent="0.35">
      <c r="A13">
        <v>9</v>
      </c>
      <c r="B13" t="s">
        <v>41</v>
      </c>
      <c r="D13" s="1">
        <v>16876.419999999998</v>
      </c>
      <c r="E13" s="1"/>
      <c r="F13" s="1">
        <f t="shared" si="0"/>
        <v>20262.390000000007</v>
      </c>
    </row>
    <row r="14" spans="1:6" x14ac:dyDescent="0.35">
      <c r="A14">
        <v>12</v>
      </c>
      <c r="B14" t="s">
        <v>65</v>
      </c>
      <c r="D14" s="1">
        <v>186.43</v>
      </c>
      <c r="E14" s="1"/>
      <c r="F14" s="1">
        <f t="shared" si="0"/>
        <v>20075.960000000006</v>
      </c>
    </row>
    <row r="15" spans="1:6" x14ac:dyDescent="0.35">
      <c r="A15">
        <v>14</v>
      </c>
      <c r="B15" t="s">
        <v>66</v>
      </c>
      <c r="D15" s="1">
        <v>500</v>
      </c>
      <c r="E15" s="1"/>
      <c r="F15" s="1">
        <f t="shared" si="0"/>
        <v>19575.960000000006</v>
      </c>
    </row>
    <row r="16" spans="1:6" x14ac:dyDescent="0.35">
      <c r="A16">
        <v>15</v>
      </c>
      <c r="B16" t="s">
        <v>16</v>
      </c>
      <c r="D16" s="1"/>
      <c r="E16" s="1">
        <v>19486.47</v>
      </c>
      <c r="F16" s="1">
        <f t="shared" si="0"/>
        <v>39062.430000000008</v>
      </c>
    </row>
    <row r="17" spans="1:9" x14ac:dyDescent="0.35">
      <c r="A17">
        <v>15</v>
      </c>
      <c r="B17" t="s">
        <v>42</v>
      </c>
      <c r="D17" s="1">
        <v>12486.44</v>
      </c>
      <c r="E17" s="1"/>
      <c r="F17" s="1">
        <f t="shared" si="0"/>
        <v>26575.990000000005</v>
      </c>
    </row>
    <row r="18" spans="1:9" x14ac:dyDescent="0.35">
      <c r="A18">
        <v>23</v>
      </c>
      <c r="B18" t="s">
        <v>13</v>
      </c>
      <c r="D18" s="1">
        <v>4566.3599999999997</v>
      </c>
      <c r="E18" s="1"/>
      <c r="F18" s="1">
        <f t="shared" si="0"/>
        <v>22009.630000000005</v>
      </c>
    </row>
    <row r="19" spans="1:9" x14ac:dyDescent="0.35">
      <c r="A19">
        <v>30</v>
      </c>
      <c r="B19" t="s">
        <v>14</v>
      </c>
      <c r="D19" s="1">
        <v>0.1</v>
      </c>
      <c r="E19" s="1"/>
      <c r="F19" s="1">
        <f t="shared" si="0"/>
        <v>22009.530000000006</v>
      </c>
    </row>
    <row r="20" spans="1:9" x14ac:dyDescent="0.35">
      <c r="A20">
        <v>30</v>
      </c>
      <c r="B20" t="s">
        <v>12</v>
      </c>
      <c r="D20" s="1">
        <v>64.599999999999994</v>
      </c>
      <c r="E20" s="1"/>
      <c r="F20" s="1">
        <f t="shared" si="0"/>
        <v>21944.930000000008</v>
      </c>
    </row>
    <row r="21" spans="1:9" x14ac:dyDescent="0.35">
      <c r="D21" s="1"/>
      <c r="E21" s="1"/>
      <c r="F21" s="1"/>
    </row>
    <row r="22" spans="1:9" x14ac:dyDescent="0.35">
      <c r="D22" s="1"/>
      <c r="E22" s="1"/>
      <c r="F22" s="1"/>
    </row>
    <row r="23" spans="1:9" x14ac:dyDescent="0.35">
      <c r="D23" s="1"/>
      <c r="E23" s="1"/>
      <c r="F23" s="1"/>
    </row>
    <row r="24" spans="1:9" x14ac:dyDescent="0.35">
      <c r="D24" s="1"/>
      <c r="E24" s="1"/>
      <c r="F24" s="1"/>
      <c r="I24" s="11"/>
    </row>
    <row r="25" spans="1:9" x14ac:dyDescent="0.35">
      <c r="D25" s="1"/>
      <c r="E25" s="1"/>
      <c r="F25" s="1"/>
      <c r="I25" s="11"/>
    </row>
    <row r="26" spans="1:9" x14ac:dyDescent="0.35">
      <c r="D26" s="1"/>
      <c r="E26" s="1"/>
      <c r="F26" s="1"/>
    </row>
    <row r="27" spans="1:9" x14ac:dyDescent="0.35">
      <c r="E27" s="1"/>
    </row>
    <row r="28" spans="1:9" x14ac:dyDescent="0.35">
      <c r="E28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Transacciones</vt:lpstr>
      <vt:lpstr>Control</vt:lpstr>
      <vt:lpstr>Conciliación</vt:lpstr>
      <vt:lpstr>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Dominguez</dc:creator>
  <cp:lastModifiedBy>Itmar Castillo</cp:lastModifiedBy>
  <cp:lastPrinted>2026-06-04T03:43:36Z</cp:lastPrinted>
  <dcterms:created xsi:type="dcterms:W3CDTF">2021-07-12T17:56:40Z</dcterms:created>
  <dcterms:modified xsi:type="dcterms:W3CDTF">2026-06-04T03:44:14Z</dcterms:modified>
</cp:coreProperties>
</file>